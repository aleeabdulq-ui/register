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ab\Downloads\register_project (2)\register\"/>
    </mc:Choice>
  </mc:AlternateContent>
  <xr:revisionPtr revIDLastSave="0" documentId="13_ncr:20001_{113DC65E-283E-4B1D-AF69-04471EB94CBE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Read Me" sheetId="1" r:id="rId1"/>
    <sheet name="Asset Summary" sheetId="2" r:id="rId2"/>
    <sheet name="IT Asset Register" sheetId="3" r:id="rId3"/>
    <sheet name="LP Audit" sheetId="4" r:id="rId4"/>
    <sheet name="LP COST" sheetId="5" r:id="rId5"/>
    <sheet name="Lists" sheetId="6" state="hidden" r:id="rId6"/>
    <sheet name="Maintenance Schedule" sheetId="7" r:id="rId7"/>
    <sheet name="Software &amp; Licences" sheetId="8" r:id="rId8"/>
    <sheet name="Asset Verification" sheetId="9" r:id="rId9"/>
  </sheets>
  <definedNames>
    <definedName name="_xlnm._FilterDatabase" localSheetId="8" hidden="1">'Asset Verification'!$A$1:$Q$301</definedName>
    <definedName name="_xlnm._FilterDatabase" localSheetId="2" hidden="1">'IT Asset Register'!$A$1:$AM$301</definedName>
    <definedName name="_xlnm._FilterDatabase" localSheetId="6" hidden="1">'Maintenance Schedule'!$A$1:$S$604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E8" i="2"/>
  <c r="E6" i="2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Alabi</author>
  </authors>
  <commentList>
    <comment ref="F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Mary Alabi:</t>
        </r>
      </text>
    </comment>
  </commentList>
</comments>
</file>

<file path=xl/sharedStrings.xml><?xml version="1.0" encoding="utf-8"?>
<sst xmlns="http://schemas.openxmlformats.org/spreadsheetml/2006/main" count="13103" uniqueCount="3057">
  <si>
    <t>TBP IT ASSET MANAGEMENT REGISTER</t>
  </si>
  <si>
    <t>Purpose</t>
  </si>
  <si>
    <t>Recommended Control Process</t>
  </si>
  <si>
    <t>1. Assign a unique TBP Asset ID to every IT asset.</t>
  </si>
  <si>
    <t>2. Physically verify every asset against the register.</t>
  </si>
  <si>
    <t>3. Record make/model, serial number, assigned user and location.</t>
  </si>
  <si>
    <t>4. Record warranty, maintenance frequency, last maintenance and next due date.</t>
  </si>
  <si>
    <t>5. Track software licences, expiry dates and renewal responsibility.</t>
  </si>
  <si>
    <t>6. Track operating system/software update status and endpoint protection.</t>
  </si>
  <si>
    <t>7. Update the register whenever an asset is purchased, transferred, repaired or retired.</t>
  </si>
  <si>
    <t>8. Review the register monthly and perform physical verification at least twice yearly.</t>
  </si>
  <si>
    <t>9. Investigate all assets marked Not Found, Exception or Pending Verification.</t>
  </si>
  <si>
    <t>Workbook Structure</t>
  </si>
  <si>
    <t>IT Asset Register</t>
  </si>
  <si>
    <t>Master register for all IT hardware and asset lifecycle information.</t>
  </si>
  <si>
    <t>Asset Summary</t>
  </si>
  <si>
    <t>Management overview and key control indicators.</t>
  </si>
  <si>
    <t>Maintenance Schedule</t>
  </si>
  <si>
    <t>Planned and completed maintenance activities.</t>
  </si>
  <si>
    <t>Software &amp; Licences</t>
  </si>
  <si>
    <t>Software licences, expiry and renewal tracking.</t>
  </si>
  <si>
    <t>Asset Verification</t>
  </si>
  <si>
    <t>Physical verification and reconciliation records.</t>
  </si>
  <si>
    <t>Lists</t>
  </si>
  <si>
    <t>Controlled dropdown values.</t>
  </si>
  <si>
    <t>Audit Finding Addressed</t>
  </si>
  <si>
    <t>The revised register addresses the audit observation by including make/model, location, assigned user, maintenance requirements and frequency, licensing, update requirements, asset condition/status, verification and lifecycle information.</t>
  </si>
  <si>
    <t>THE BUILDING PRACTICE LIMITED</t>
  </si>
  <si>
    <t>IT Asset Register Summary — FY 2026</t>
  </si>
  <si>
    <t>Total Assets</t>
  </si>
  <si>
    <t>Maintenance Due Within 30 Days</t>
  </si>
  <si>
    <t>Assets In Use</t>
  </si>
  <si>
    <t>Warranty Expiring Within 30 Days</t>
  </si>
  <si>
    <t>Available Assets</t>
  </si>
  <si>
    <t>Software Licence Records</t>
  </si>
  <si>
    <t>Under Repair</t>
  </si>
  <si>
    <t>Pending Verification</t>
  </si>
  <si>
    <t>Assets Not Found</t>
  </si>
  <si>
    <t>Licences Expiring Soon</t>
  </si>
  <si>
    <t>Licences Expired</t>
  </si>
  <si>
    <t>Asset ID</t>
  </si>
  <si>
    <t>Asset Type</t>
  </si>
  <si>
    <t>Category</t>
  </si>
  <si>
    <t>Make</t>
  </si>
  <si>
    <t>Model</t>
  </si>
  <si>
    <t>Serial Number</t>
  </si>
  <si>
    <t>Asset Tag</t>
  </si>
  <si>
    <t>Assigned User</t>
  </si>
  <si>
    <t>Department</t>
  </si>
  <si>
    <t>Location</t>
  </si>
  <si>
    <t>Asset Custodian</t>
  </si>
  <si>
    <t>Status</t>
  </si>
  <si>
    <t>Condition</t>
  </si>
  <si>
    <t>Purchase Date</t>
  </si>
  <si>
    <t>Purchase Cost (NGN)</t>
  </si>
  <si>
    <t>Supplier / Vendor</t>
  </si>
  <si>
    <t>Warranty Start</t>
  </si>
  <si>
    <t>Warranty Expiry</t>
  </si>
  <si>
    <t>Last Maintenance Date</t>
  </si>
  <si>
    <t>Next Maintenance Date</t>
  </si>
  <si>
    <t>Maintenance Frequency</t>
  </si>
  <si>
    <t>Maintenance Requirement</t>
  </si>
  <si>
    <t>Operating System</t>
  </si>
  <si>
    <t>OS Version / Build</t>
  </si>
  <si>
    <t>Last Update Date</t>
  </si>
  <si>
    <t>Update Status</t>
  </si>
  <si>
    <t>Antivirus / Endpoint Protection</t>
  </si>
  <si>
    <t>Antivirus Expiry</t>
  </si>
  <si>
    <t>Software / License</t>
  </si>
  <si>
    <t>License Status</t>
  </si>
  <si>
    <t>License Expiry</t>
  </si>
  <si>
    <t>IP Address</t>
  </si>
  <si>
    <t>MAC Address</t>
  </si>
  <si>
    <t>Disposal / Retirement Date</t>
  </si>
  <si>
    <t>Disposal Method</t>
  </si>
  <si>
    <t>Last Verified Date</t>
  </si>
  <si>
    <t>Verification Status</t>
  </si>
  <si>
    <t>Verified By</t>
  </si>
  <si>
    <t>Remarks</t>
  </si>
  <si>
    <t>TBP-ASSET-0001</t>
  </si>
  <si>
    <t>Laptop</t>
  </si>
  <si>
    <t>Computing</t>
  </si>
  <si>
    <t>HP</t>
  </si>
  <si>
    <t>OMEN Core i7 17"</t>
  </si>
  <si>
    <t>5CD746CLDF</t>
  </si>
  <si>
    <t>LP-001</t>
  </si>
  <si>
    <t>Arc. Michael Alley</t>
  </si>
  <si>
    <t>Architecture</t>
  </si>
  <si>
    <t>Office 2</t>
  </si>
  <si>
    <t>In Use</t>
  </si>
  <si>
    <t>Fair</t>
  </si>
  <si>
    <t>2022-11-04</t>
  </si>
  <si>
    <t>HP Nigeria</t>
  </si>
  <si>
    <t>2023-11-04</t>
  </si>
  <si>
    <t>2026-06-11</t>
  </si>
  <si>
    <t>2026-09-04</t>
  </si>
  <si>
    <t>Quarterly</t>
  </si>
  <si>
    <t>Hardware diagnostics, OS patching, disk cleanup, antivirus scan, battery health check</t>
  </si>
  <si>
    <t>Windows</t>
  </si>
  <si>
    <t>23H2</t>
  </si>
  <si>
    <t>2026-08-07</t>
  </si>
  <si>
    <t>Up to Date</t>
  </si>
  <si>
    <t>Kaspersky Endpoint Security</t>
  </si>
  <si>
    <t>2027-06-13</t>
  </si>
  <si>
    <t>Microsoft 365 Business Premium</t>
  </si>
  <si>
    <t>Active</t>
  </si>
  <si>
    <t>2027-01-04</t>
  </si>
  <si>
    <t>192.168.1.139</t>
  </si>
  <si>
    <t>0D:65:D6:70:E5:8E</t>
  </si>
  <si>
    <t>2026-07-27</t>
  </si>
  <si>
    <t>Verified</t>
  </si>
  <si>
    <t>A. Abdulqadir</t>
  </si>
  <si>
    <t>TBP-ASSET-0002</t>
  </si>
  <si>
    <t>Acer</t>
  </si>
  <si>
    <t>Predator G5-793</t>
  </si>
  <si>
    <t>F7F71818D8E0</t>
  </si>
  <si>
    <t>LP-002</t>
  </si>
  <si>
    <t>Quadri Bakare</t>
  </si>
  <si>
    <t>Poor</t>
  </si>
  <si>
    <t>2018-03-23</t>
  </si>
  <si>
    <t>Zinox Technologies</t>
  </si>
  <si>
    <t>2020-03-22</t>
  </si>
  <si>
    <t>2026-04-08</t>
  </si>
  <si>
    <t>2026-10-06</t>
  </si>
  <si>
    <t>2026-07-11</t>
  </si>
  <si>
    <t>ESET Endpoint Security</t>
  </si>
  <si>
    <t>2026-10-29</t>
  </si>
  <si>
    <t>Expiring Soon</t>
  </si>
  <si>
    <t>2027-01-20</t>
  </si>
  <si>
    <t>192.168.1.216</t>
  </si>
  <si>
    <t>16:EB:3F:C1:28:96</t>
  </si>
  <si>
    <t>M. Johnson</t>
  </si>
  <si>
    <t>TBP-ASSET-0003</t>
  </si>
  <si>
    <t>20F254AE1ED1</t>
  </si>
  <si>
    <t>LP-003</t>
  </si>
  <si>
    <t>Idowu Gbemisola</t>
  </si>
  <si>
    <t>Good</t>
  </si>
  <si>
    <t>2022-06-19</t>
  </si>
  <si>
    <t>Layer3 Cloud Solutions</t>
  </si>
  <si>
    <t>2023-06-19</t>
  </si>
  <si>
    <t>2026-07-23</t>
  </si>
  <si>
    <t>2026-10-23</t>
  </si>
  <si>
    <t>2026-07-18</t>
  </si>
  <si>
    <t>2027-03-15</t>
  </si>
  <si>
    <t>192.168.1.100</t>
  </si>
  <si>
    <t>6B:88:24:57:7D:53</t>
  </si>
  <si>
    <t>2026-07-26</t>
  </si>
  <si>
    <t>S. Okonkwo</t>
  </si>
  <si>
    <t>TBP-ASSET-0004</t>
  </si>
  <si>
    <t>MSI</t>
  </si>
  <si>
    <t>Gaming GF72</t>
  </si>
  <si>
    <t>K2106N0132875</t>
  </si>
  <si>
    <t>LP-004</t>
  </si>
  <si>
    <t>Sarah Dennis</t>
  </si>
  <si>
    <t>Admin</t>
  </si>
  <si>
    <t>2022-07-09</t>
  </si>
  <si>
    <t>2025-07-08</t>
  </si>
  <si>
    <t>2026-05-21</t>
  </si>
  <si>
    <t>2026-08-16</t>
  </si>
  <si>
    <t>22H2</t>
  </si>
  <si>
    <t>2026-08-01</t>
  </si>
  <si>
    <t>Update Required</t>
  </si>
  <si>
    <t>Bitdefender GravityZone</t>
  </si>
  <si>
    <t>2026-09-23</t>
  </si>
  <si>
    <t>2027-02-15</t>
  </si>
  <si>
    <t>192.168.1.64</t>
  </si>
  <si>
    <t>FF:CA:EA:49:87:47</t>
  </si>
  <si>
    <t>2026-06-28</t>
  </si>
  <si>
    <t>T. Olugboyega</t>
  </si>
  <si>
    <t>July 7, 2022</t>
  </si>
  <si>
    <t>TBP-ASSET-0005</t>
  </si>
  <si>
    <t>Envy TS-17</t>
  </si>
  <si>
    <t>A8514A7EAB11</t>
  </si>
  <si>
    <t>LP-005</t>
  </si>
  <si>
    <t>Nonso</t>
  </si>
  <si>
    <t>Office 1</t>
  </si>
  <si>
    <t>2022-12-18</t>
  </si>
  <si>
    <t>Cyberspace Ltd</t>
  </si>
  <si>
    <t>2025-12-17</t>
  </si>
  <si>
    <t>2026-07-13</t>
  </si>
  <si>
    <t>2026-10-14</t>
  </si>
  <si>
    <t>2026-08-05</t>
  </si>
  <si>
    <t>Sophos Intercept X</t>
  </si>
  <si>
    <t>2027-03-11</t>
  </si>
  <si>
    <t>2026-11-24</t>
  </si>
  <si>
    <t>192.168.1.170</t>
  </si>
  <si>
    <t>51:D8:20:C5:C3:EF</t>
  </si>
  <si>
    <t>2026-07-10</t>
  </si>
  <si>
    <t>Old Laptop</t>
  </si>
  <si>
    <t>TBP-ASSET-0006</t>
  </si>
  <si>
    <t>00179E-0432</t>
  </si>
  <si>
    <t>LP-006</t>
  </si>
  <si>
    <t>Rapheal</t>
  </si>
  <si>
    <t>2022-05-18</t>
  </si>
  <si>
    <t>Olamide IT Solutions</t>
  </si>
  <si>
    <t>2023-05-18</t>
  </si>
  <si>
    <t>2026-06-19</t>
  </si>
  <si>
    <t>2026-09-20</t>
  </si>
  <si>
    <t>2026-11-03</t>
  </si>
  <si>
    <t>2027-01-19</t>
  </si>
  <si>
    <t>192.168.1.138</t>
  </si>
  <si>
    <t>5B:36:98:65:4E:BF</t>
  </si>
  <si>
    <t>2026-07-01</t>
  </si>
  <si>
    <t>June 1, 2022</t>
  </si>
  <si>
    <t>TBP-ASSET-0007</t>
  </si>
  <si>
    <t>Crosshair 17</t>
  </si>
  <si>
    <t>K2LLLNO236638</t>
  </si>
  <si>
    <t>LP-007</t>
  </si>
  <si>
    <t>Azeez</t>
  </si>
  <si>
    <t>2023-09-25</t>
  </si>
  <si>
    <t>New Horizon Technologies</t>
  </si>
  <si>
    <t>2026-09-24</t>
  </si>
  <si>
    <t>2026-05-17</t>
  </si>
  <si>
    <t>2026-08-10</t>
  </si>
  <si>
    <t>2026-07-31</t>
  </si>
  <si>
    <t>2026-10-20</t>
  </si>
  <si>
    <t>192.168.1.197</t>
  </si>
  <si>
    <t>F8:23:40:41:F3:54</t>
  </si>
  <si>
    <t>2026-06-22</t>
  </si>
  <si>
    <t>I. Adewale</t>
  </si>
  <si>
    <t>March 6, 2023</t>
  </si>
  <si>
    <t>TBP-ASSET-0008</t>
  </si>
  <si>
    <t>Katana GF76</t>
  </si>
  <si>
    <t>K2203N0208837</t>
  </si>
  <si>
    <t>LP-008</t>
  </si>
  <si>
    <t>Kingsley</t>
  </si>
  <si>
    <t>2022-09-28</t>
  </si>
  <si>
    <t>Dell Technologies Nigeria</t>
  </si>
  <si>
    <t>2025-09-27</t>
  </si>
  <si>
    <t>2026-07-19</t>
  </si>
  <si>
    <t>2026-10-12</t>
  </si>
  <si>
    <t>2027-03-30</t>
  </si>
  <si>
    <t>2026-11-07</t>
  </si>
  <si>
    <t>192.168.1.73</t>
  </si>
  <si>
    <t>73:20:AD:0A:75:70</t>
  </si>
  <si>
    <t>2026-05-14</t>
  </si>
  <si>
    <t>July 21, 2022</t>
  </si>
  <si>
    <t>TBP-ASSET-0009</t>
  </si>
  <si>
    <t>K2203N01408215</t>
  </si>
  <si>
    <t>LP-009</t>
  </si>
  <si>
    <t>Wale</t>
  </si>
  <si>
    <t>2022-02-23</t>
  </si>
  <si>
    <t>2025-02-22</t>
  </si>
  <si>
    <t>2026-09-22</t>
  </si>
  <si>
    <t>2026-10-13</t>
  </si>
  <si>
    <t>2027-09-12</t>
  </si>
  <si>
    <t>192.168.1.249</t>
  </si>
  <si>
    <t>F2:7C:F2:D0:61:30</t>
  </si>
  <si>
    <t>2026-06-03</t>
  </si>
  <si>
    <t>Sept 23, 2022</t>
  </si>
  <si>
    <t>TBP-ASSET-0010</t>
  </si>
  <si>
    <t>Laptop 15-dy2xxx</t>
  </si>
  <si>
    <t>8DC9240BF9CE</t>
  </si>
  <si>
    <t>LP-010</t>
  </si>
  <si>
    <t>Ife</t>
  </si>
  <si>
    <t>2023-11-14</t>
  </si>
  <si>
    <t>2025-11-13</t>
  </si>
  <si>
    <t>2026-06-09</t>
  </si>
  <si>
    <t>2026-10-08</t>
  </si>
  <si>
    <t>2027-06-08</t>
  </si>
  <si>
    <t>192.168.1.124</t>
  </si>
  <si>
    <t>47:D8:5D:8E:EC:7F</t>
  </si>
  <si>
    <t>2026-06-17</t>
  </si>
  <si>
    <t>New</t>
  </si>
  <si>
    <t>TBP-ASSET-0011</t>
  </si>
  <si>
    <t>K21NNO236523</t>
  </si>
  <si>
    <t>LP-011</t>
  </si>
  <si>
    <t>Esther</t>
  </si>
  <si>
    <t>2023-08-26</t>
  </si>
  <si>
    <t>Spectra Industries</t>
  </si>
  <si>
    <t>2026-08-25</t>
  </si>
  <si>
    <t>2026-09-19</t>
  </si>
  <si>
    <t>2027-01-06</t>
  </si>
  <si>
    <t>2026-11-30</t>
  </si>
  <si>
    <t>192.168.1.107</t>
  </si>
  <si>
    <t>01:C7:87:E8:92:D8</t>
  </si>
  <si>
    <t>2026-07-17</t>
  </si>
  <si>
    <t>March 3, 2023</t>
  </si>
  <si>
    <t>TBP-ASSET-0012</t>
  </si>
  <si>
    <t>15-fd0xxx</t>
  </si>
  <si>
    <t>9F9AC6656B3F</t>
  </si>
  <si>
    <t>LP-012</t>
  </si>
  <si>
    <t>Yewande</t>
  </si>
  <si>
    <t>Excellent</t>
  </si>
  <si>
    <t>2025-11-23</t>
  </si>
  <si>
    <t>2027-11-23</t>
  </si>
  <si>
    <t>2026-10-07</t>
  </si>
  <si>
    <t>2026-07-15</t>
  </si>
  <si>
    <t>2026-10-02</t>
  </si>
  <si>
    <t>192.168.1.159</t>
  </si>
  <si>
    <t>F4:50:1D:29:5F:23</t>
  </si>
  <si>
    <t>2026-05-25</t>
  </si>
  <si>
    <t>Feb 2025</t>
  </si>
  <si>
    <t>TBP-ASSET-0013</t>
  </si>
  <si>
    <t>EliteBook x360 830 G7</t>
  </si>
  <si>
    <t>F8911AA5BECD</t>
  </si>
  <si>
    <t>LP-013</t>
  </si>
  <si>
    <t>Emeka</t>
  </si>
  <si>
    <t>2024-02-22</t>
  </si>
  <si>
    <t>TechMart Lagos</t>
  </si>
  <si>
    <t>2025-02-21</t>
  </si>
  <si>
    <t>2026-04-09</t>
  </si>
  <si>
    <t>2026-10-03</t>
  </si>
  <si>
    <t>2026-07-09</t>
  </si>
  <si>
    <t>2027-07-21</t>
  </si>
  <si>
    <t>2027-08-15</t>
  </si>
  <si>
    <t>192.168.1.193</t>
  </si>
  <si>
    <t>A0:7A:87:CA:43:99</t>
  </si>
  <si>
    <t>2026-07-28</t>
  </si>
  <si>
    <t>Old</t>
  </si>
  <si>
    <t>TBP-ASSET-0014</t>
  </si>
  <si>
    <t>EliteBook x360 1030 G3</t>
  </si>
  <si>
    <t>A108FF8A3EC5</t>
  </si>
  <si>
    <t>LP-014</t>
  </si>
  <si>
    <t>Bode</t>
  </si>
  <si>
    <t>Management</t>
  </si>
  <si>
    <t>2024-06-25</t>
  </si>
  <si>
    <t>2025-06-25</t>
  </si>
  <si>
    <t>2026-08-13</t>
  </si>
  <si>
    <t>2026-05-16</t>
  </si>
  <si>
    <t>2027-06-09</t>
  </si>
  <si>
    <t>2027-01-10</t>
  </si>
  <si>
    <t>192.168.1.104</t>
  </si>
  <si>
    <t>91:50:E0:9A:04:99</t>
  </si>
  <si>
    <t>TBP-ASSET-0015</t>
  </si>
  <si>
    <t>Predator PHN16-71</t>
  </si>
  <si>
    <t>D9996F4396EF</t>
  </si>
  <si>
    <t>LP-015</t>
  </si>
  <si>
    <t>Nicole</t>
  </si>
  <si>
    <t>2024-03-09</t>
  </si>
  <si>
    <t>2025-03-09</t>
  </si>
  <si>
    <t>2026-07-14</t>
  </si>
  <si>
    <t>2027-01-29</t>
  </si>
  <si>
    <t>2027-05-23</t>
  </si>
  <si>
    <t>192.168.1.135</t>
  </si>
  <si>
    <t>80:1A:2F:D8:8D:16</t>
  </si>
  <si>
    <t>2026-05-22</t>
  </si>
  <si>
    <t>TBP-ASSET-0016</t>
  </si>
  <si>
    <t>Asus</t>
  </si>
  <si>
    <t>TUF Gaming A17</t>
  </si>
  <si>
    <t>8AB943271866</t>
  </si>
  <si>
    <t>LP-016</t>
  </si>
  <si>
    <t>Tahir</t>
  </si>
  <si>
    <t>2023-06-25</t>
  </si>
  <si>
    <t>2024-06-24</t>
  </si>
  <si>
    <t>2026-07-25</t>
  </si>
  <si>
    <t>2026-07-12</t>
  </si>
  <si>
    <t>2027-06-16</t>
  </si>
  <si>
    <t>192.168.1.47</t>
  </si>
  <si>
    <t>DC:41:15:9D:BA:14</t>
  </si>
  <si>
    <t>2026-07-29</t>
  </si>
  <si>
    <t>TBP-ASSET-0017</t>
  </si>
  <si>
    <t>Lenovo</t>
  </si>
  <si>
    <t>V15</t>
  </si>
  <si>
    <t>PF2G69N5</t>
  </si>
  <si>
    <t>LP-017</t>
  </si>
  <si>
    <t>Kachi</t>
  </si>
  <si>
    <t>2025-04-22</t>
  </si>
  <si>
    <t>2026-04-22</t>
  </si>
  <si>
    <t>2026-06-05</t>
  </si>
  <si>
    <t>2026-08-29</t>
  </si>
  <si>
    <t>2026-08-02</t>
  </si>
  <si>
    <t>2027-04-05</t>
  </si>
  <si>
    <t>192.168.1.215</t>
  </si>
  <si>
    <t>7F:88:51:37:C3:13</t>
  </si>
  <si>
    <t>Custom Made</t>
  </si>
  <si>
    <t>TBP-ASSET-0018</t>
  </si>
  <si>
    <t>GF75 Thin</t>
  </si>
  <si>
    <t>K2101N0128241</t>
  </si>
  <si>
    <t>LP-018</t>
  </si>
  <si>
    <t>Tayo-Ojo Olugboyega</t>
  </si>
  <si>
    <t>2022-04-07</t>
  </si>
  <si>
    <t>2024-04-06</t>
  </si>
  <si>
    <t>2026-05-11</t>
  </si>
  <si>
    <t>2026-08-12</t>
  </si>
  <si>
    <t>2026-12-14</t>
  </si>
  <si>
    <t>2027-08-01</t>
  </si>
  <si>
    <t>192.168.1.140</t>
  </si>
  <si>
    <t>CC:A9:0E:3B:85:5B</t>
  </si>
  <si>
    <t>TBP-ASSET-0019</t>
  </si>
  <si>
    <t>Dell</t>
  </si>
  <si>
    <t>Laptop 16GB 1TB</t>
  </si>
  <si>
    <t>B834DC45-41BC-4D56-8B33-DDFAFB86D4C4</t>
  </si>
  <si>
    <t>LP-019</t>
  </si>
  <si>
    <t>Sarah Dennis (Dell)</t>
  </si>
  <si>
    <t>2025-05-02</t>
  </si>
  <si>
    <t>2026-05-02</t>
  </si>
  <si>
    <t>2026-09-16</t>
  </si>
  <si>
    <t>2026-07-30</t>
  </si>
  <si>
    <t>2027-07-14</t>
  </si>
  <si>
    <t>2027-04-18</t>
  </si>
  <si>
    <t>192.168.1.10</t>
  </si>
  <si>
    <t>64:BA:DC:23:A9:A0</t>
  </si>
  <si>
    <t>TBP-ASSET-0020</t>
  </si>
  <si>
    <t>Desktop</t>
  </si>
  <si>
    <t>Custom Build</t>
  </si>
  <si>
    <t>Workstation (CPU + Monitor + KB + UPS + Mouse)</t>
  </si>
  <si>
    <t>DT-48752-R230</t>
  </si>
  <si>
    <t>DT-020</t>
  </si>
  <si>
    <t>Ore</t>
  </si>
  <si>
    <t>2024-12-10</t>
  </si>
  <si>
    <t>2027-12-10</t>
  </si>
  <si>
    <t>2026-04-05</t>
  </si>
  <si>
    <t>2026-10-01</t>
  </si>
  <si>
    <t>Hardware diagnostics, dust cleaning, thermal paste inspection, OS updates, backup verification</t>
  </si>
  <si>
    <t>2027-05-04</t>
  </si>
  <si>
    <t>2027-08-18</t>
  </si>
  <si>
    <t>192.168.1.155</t>
  </si>
  <si>
    <t>9A:CF:00:9B:92:6B</t>
  </si>
  <si>
    <t>Desktop workstation bundle</t>
  </si>
  <si>
    <t>TBP-ASSET-0021</t>
  </si>
  <si>
    <t>DT-77000-P912</t>
  </si>
  <si>
    <t>DT-021</t>
  </si>
  <si>
    <t>Uche</t>
  </si>
  <si>
    <t>2025-10-20</t>
  </si>
  <si>
    <t>2028-10-19</t>
  </si>
  <si>
    <t>2026-05-28</t>
  </si>
  <si>
    <t>2026-08-23</t>
  </si>
  <si>
    <t>2026-07-22</t>
  </si>
  <si>
    <t>2027-05-21</t>
  </si>
  <si>
    <t>2027-09-11</t>
  </si>
  <si>
    <t>192.168.1.172</t>
  </si>
  <si>
    <t>AB:2F:78:9E:73:65</t>
  </si>
  <si>
    <t>TBP-ASSET-0022</t>
  </si>
  <si>
    <t>DT-92544-S299</t>
  </si>
  <si>
    <t>DT-022</t>
  </si>
  <si>
    <t>Joshua</t>
  </si>
  <si>
    <t>2025-01-02</t>
  </si>
  <si>
    <t>2028-01-02</t>
  </si>
  <si>
    <t>2026-02-21</t>
  </si>
  <si>
    <t>2026-08-17</t>
  </si>
  <si>
    <t>2026-11-13</t>
  </si>
  <si>
    <t>2026-12-21</t>
  </si>
  <si>
    <t>192.168.1.177</t>
  </si>
  <si>
    <t>02:36:D9:70:5A:ED</t>
  </si>
  <si>
    <t>TBP-ASSET-0023</t>
  </si>
  <si>
    <t>DT-68008-T934</t>
  </si>
  <si>
    <t>DT-023</t>
  </si>
  <si>
    <t>Tolu</t>
  </si>
  <si>
    <t>2025-09-08</t>
  </si>
  <si>
    <t>2028-09-07</t>
  </si>
  <si>
    <t>2026-10-31</t>
  </si>
  <si>
    <t>2027-06-01</t>
  </si>
  <si>
    <t>2027-06-07</t>
  </si>
  <si>
    <t>192.168.1.125</t>
  </si>
  <si>
    <t>84:7E:8D:F8:7A:8C</t>
  </si>
  <si>
    <t>2026-06-26</t>
  </si>
  <si>
    <t>TBP-ASSET-0024</t>
  </si>
  <si>
    <t>DT-28136-E336</t>
  </si>
  <si>
    <t>DT-024</t>
  </si>
  <si>
    <t>Raheem</t>
  </si>
  <si>
    <t>2025-02-23</t>
  </si>
  <si>
    <t>2028-02-23</t>
  </si>
  <si>
    <t>2026-06-21</t>
  </si>
  <si>
    <t>2027-03-27</t>
  </si>
  <si>
    <t>2027-05-07</t>
  </si>
  <si>
    <t>192.168.1.114</t>
  </si>
  <si>
    <t>A9:EE:D4:1F:69:D7</t>
  </si>
  <si>
    <t>TBP-ASSET-0025</t>
  </si>
  <si>
    <t>DT-61116-N651</t>
  </si>
  <si>
    <t>DT-025</t>
  </si>
  <si>
    <t>Vanessa</t>
  </si>
  <si>
    <t>2029-10-22</t>
  </si>
  <si>
    <t>2027-01-18</t>
  </si>
  <si>
    <t>2026-10-10</t>
  </si>
  <si>
    <t>2027-05-18</t>
  </si>
  <si>
    <t>192.168.1.134</t>
  </si>
  <si>
    <t>0E:C7:AC:CF:54:EF</t>
  </si>
  <si>
    <t>2026-07-16</t>
  </si>
  <si>
    <t>TBP-ASSET-0026</t>
  </si>
  <si>
    <t>Server</t>
  </si>
  <si>
    <t>Infrastructure</t>
  </si>
  <si>
    <t>PowerEdge T550</t>
  </si>
  <si>
    <t>SVR-DEL-001</t>
  </si>
  <si>
    <t>SE-026</t>
  </si>
  <si>
    <t>IT Department</t>
  </si>
  <si>
    <t>IT</t>
  </si>
  <si>
    <t>Studio</t>
  </si>
  <si>
    <t>2024-10-18</t>
  </si>
  <si>
    <t>CompuSystems Nigeria Ltd</t>
  </si>
  <si>
    <t>2025-10-18</t>
  </si>
  <si>
    <t>2026-08-21</t>
  </si>
  <si>
    <t>Monthly</t>
  </si>
  <si>
    <t>System health check, RAID status, backup verification, security patches, performance monitoring, log review</t>
  </si>
  <si>
    <t>192.168.1.179</t>
  </si>
  <si>
    <t>DB:45:EC:5D:19:85</t>
  </si>
  <si>
    <t>2026-05-27</t>
  </si>
  <si>
    <t>TBP-ASSET-0027</t>
  </si>
  <si>
    <t>ProLiant ML350 Gen10</t>
  </si>
  <si>
    <t>SVR-HP-001</t>
  </si>
  <si>
    <t>SE-027</t>
  </si>
  <si>
    <t>2023-04-15</t>
  </si>
  <si>
    <t>2026-04-14</t>
  </si>
  <si>
    <t>2026-09-03</t>
  </si>
  <si>
    <t>192.168.1.74</t>
  </si>
  <si>
    <t>09:1A:B3:72:23:14</t>
  </si>
  <si>
    <t>2026-06-15</t>
  </si>
  <si>
    <t>TBP-ASSET-0028</t>
  </si>
  <si>
    <t>Printer</t>
  </si>
  <si>
    <t>Printing</t>
  </si>
  <si>
    <t>LaserJet Pro MFP M479fdw</t>
  </si>
  <si>
    <t>PRT-HP-001</t>
  </si>
  <si>
    <t>PR-028</t>
  </si>
  <si>
    <t>Shared</t>
  </si>
  <si>
    <t>2024-04-27</t>
  </si>
  <si>
    <t>2025-04-27</t>
  </si>
  <si>
    <t>2026-05-20</t>
  </si>
  <si>
    <t>2026-08-18</t>
  </si>
  <si>
    <t>Print head cleaning, firmware update, toner/drum inspection, network connectivity test</t>
  </si>
  <si>
    <t>192.168.1.42</t>
  </si>
  <si>
    <t>6F:EE:83:BC:55:3A</t>
  </si>
  <si>
    <t>2026-07-08</t>
  </si>
  <si>
    <t>TBP-ASSET-0029</t>
  </si>
  <si>
    <t>DesignJet T650 36"</t>
  </si>
  <si>
    <t>PRT-HP-002</t>
  </si>
  <si>
    <t>PR-029</t>
  </si>
  <si>
    <t>2023-02-19</t>
  </si>
  <si>
    <t>2024-02-19</t>
  </si>
  <si>
    <t>2026-06-01</t>
  </si>
  <si>
    <t>2026-09-02</t>
  </si>
  <si>
    <t>192.168.1.111</t>
  </si>
  <si>
    <t>7C:34:9A:3D:15:B1</t>
  </si>
  <si>
    <t>2026-06-20</t>
  </si>
  <si>
    <t>TBP-ASSET-0030</t>
  </si>
  <si>
    <t>Epson</t>
  </si>
  <si>
    <t>SureColor T3475</t>
  </si>
  <si>
    <t>PRT-EPS-001</t>
  </si>
  <si>
    <t>PR-030</t>
  </si>
  <si>
    <t>2024-11-12</t>
  </si>
  <si>
    <t>2025-11-12</t>
  </si>
  <si>
    <t>2026-03-22</t>
  </si>
  <si>
    <t>2026-09-15</t>
  </si>
  <si>
    <t>192.168.1.13</t>
  </si>
  <si>
    <t>36:DD:B9:EB:4E:DE</t>
  </si>
  <si>
    <t>2026-06-25</t>
  </si>
  <si>
    <t>TBP-ASSET-0031</t>
  </si>
  <si>
    <t>Router</t>
  </si>
  <si>
    <t>Network</t>
  </si>
  <si>
    <t>Cisco</t>
  </si>
  <si>
    <t>ISR 4331</t>
  </si>
  <si>
    <t>RTR-CSC-001</t>
  </si>
  <si>
    <t>RO-031</t>
  </si>
  <si>
    <t>2023-11-09</t>
  </si>
  <si>
    <t>2028-11-07</t>
  </si>
  <si>
    <t>2026-08-15</t>
  </si>
  <si>
    <t>Firmware update, security audit, throughput test, log review, configuration backup</t>
  </si>
  <si>
    <t>192.168.1.78</t>
  </si>
  <si>
    <t>2C:8E:E6:7C:ED:C2</t>
  </si>
  <si>
    <t>2026-05-24</t>
  </si>
  <si>
    <t>TBP-ASSET-0032</t>
  </si>
  <si>
    <t>Switch</t>
  </si>
  <si>
    <t>Catalyst 2960-X 48-Port</t>
  </si>
  <si>
    <t>SW-CSC-001</t>
  </si>
  <si>
    <t>SW-032</t>
  </si>
  <si>
    <t>2023-08-28</t>
  </si>
  <si>
    <t>2026-08-27</t>
  </si>
  <si>
    <t>2026-09-28</t>
  </si>
  <si>
    <t>Port testing, firmware update, VLAN audit, throughput monitoring</t>
  </si>
  <si>
    <t>8F:8D:05:61:2B:7B</t>
  </si>
  <si>
    <t>TBP-ASSET-0033</t>
  </si>
  <si>
    <t>TP-Link</t>
  </si>
  <si>
    <t>TL-SG1024DE 24-Port</t>
  </si>
  <si>
    <t>SW-TPL-001</t>
  </si>
  <si>
    <t>SW-033</t>
  </si>
  <si>
    <t>2024-08-18</t>
  </si>
  <si>
    <t>96:71:CF:7C:9C:BC</t>
  </si>
  <si>
    <t>2026-06-06</t>
  </si>
  <si>
    <t>TBP-ASSET-0034</t>
  </si>
  <si>
    <t>Access Point</t>
  </si>
  <si>
    <t>Ubiquiti</t>
  </si>
  <si>
    <t>UniFi U6 Pro</t>
  </si>
  <si>
    <t>AP-UBQ-001</t>
  </si>
  <si>
    <t>AC-034</t>
  </si>
  <si>
    <t>2024-09-12</t>
  </si>
  <si>
    <t>2029-09-11</t>
  </si>
  <si>
    <t>2026-10-11</t>
  </si>
  <si>
    <t>Signal strength test, firmware update, channel optimisation, client audit</t>
  </si>
  <si>
    <t>192.168.1.189</t>
  </si>
  <si>
    <t>9C:80:76:3D:62:A1</t>
  </si>
  <si>
    <t>2026-06-23</t>
  </si>
  <si>
    <t>TBP-ASSET-0035</t>
  </si>
  <si>
    <t>AP-UBQ-002</t>
  </si>
  <si>
    <t>AC-035</t>
  </si>
  <si>
    <t>2024-12-06</t>
  </si>
  <si>
    <t>2026-12-06</t>
  </si>
  <si>
    <t>2026-04-26</t>
  </si>
  <si>
    <t>2026-10-25</t>
  </si>
  <si>
    <t>192.168.1.80</t>
  </si>
  <si>
    <t>33:63:97:74:B8:5B</t>
  </si>
  <si>
    <t>2026-06-07</t>
  </si>
  <si>
    <t>TBP-ASSET-0036</t>
  </si>
  <si>
    <t>UPS</t>
  </si>
  <si>
    <t>APC</t>
  </si>
  <si>
    <t>Smart-UPS 3000VA</t>
  </si>
  <si>
    <t>UPS-APC-001</t>
  </si>
  <si>
    <t>UP-036</t>
  </si>
  <si>
    <t>2023-12-18</t>
  </si>
  <si>
    <t>2026-07-21</t>
  </si>
  <si>
    <t>2026-08-19</t>
  </si>
  <si>
    <t>Battery load test, runtime verification, electrical inspection, alarm test, capacitor check</t>
  </si>
  <si>
    <t>TBP-ASSET-0037</t>
  </si>
  <si>
    <t>Smart-UPS 1500VA</t>
  </si>
  <si>
    <t>UPS-APC-002</t>
  </si>
  <si>
    <t>UP-037</t>
  </si>
  <si>
    <t>2024-10-10</t>
  </si>
  <si>
    <t>2029-10-09</t>
  </si>
  <si>
    <t>TBP-ASSET-0038</t>
  </si>
  <si>
    <t>Monitor</t>
  </si>
  <si>
    <t>Peripheral</t>
  </si>
  <si>
    <t>UltraSharp U2723QE 27" 4K</t>
  </si>
  <si>
    <t>MON-DEL-001</t>
  </si>
  <si>
    <t>MO-038</t>
  </si>
  <si>
    <t>2025-07-16</t>
  </si>
  <si>
    <t>2026-03-02</t>
  </si>
  <si>
    <t>2026-08-26</t>
  </si>
  <si>
    <t>Biannual</t>
  </si>
  <si>
    <t>Screen calibration, cable inspection, colour accuracy test</t>
  </si>
  <si>
    <t>2026-05-12</t>
  </si>
  <si>
    <t>TBP-ASSET-0039</t>
  </si>
  <si>
    <t>LG</t>
  </si>
  <si>
    <t>27MK600M 27" IPS</t>
  </si>
  <si>
    <t>MON-LG-001</t>
  </si>
  <si>
    <t>MO-039</t>
  </si>
  <si>
    <t>2024-05-03</t>
  </si>
  <si>
    <t>2026-05-03</t>
  </si>
  <si>
    <t>2025-12-14</t>
  </si>
  <si>
    <t>2026-12-10</t>
  </si>
  <si>
    <t>TBP-ASSET-0040</t>
  </si>
  <si>
    <t>NAS</t>
  </si>
  <si>
    <t>Storage</t>
  </si>
  <si>
    <t>Synology</t>
  </si>
  <si>
    <t>DiskStation DS1522+</t>
  </si>
  <si>
    <t>NAS-SYN-001</t>
  </si>
  <si>
    <t>NA-040</t>
  </si>
  <si>
    <t>2024-08-15</t>
  </si>
  <si>
    <t>RAID health check, disk SMART status, backup integrity verification, firmware update</t>
  </si>
  <si>
    <t>32:6A:6C:87:29:50</t>
  </si>
  <si>
    <t>2026-06-29</t>
  </si>
  <si>
    <t>TBP-ASSET-0041</t>
  </si>
  <si>
    <t>Projector</t>
  </si>
  <si>
    <t>Communication</t>
  </si>
  <si>
    <t>EB-W52</t>
  </si>
  <si>
    <t>PRJ-EPS-001</t>
  </si>
  <si>
    <t>PR-041</t>
  </si>
  <si>
    <t>Conference Room</t>
  </si>
  <si>
    <t>2023-09-03</t>
  </si>
  <si>
    <t>2025-09-02</t>
  </si>
  <si>
    <t>2026-06-30</t>
  </si>
  <si>
    <t>Lamp hours check, filter cleaning, lens inspection, connectivity test</t>
  </si>
  <si>
    <t>TBP-ASSET-0042</t>
  </si>
  <si>
    <t>BenQ</t>
  </si>
  <si>
    <t>MH733</t>
  </si>
  <si>
    <t>PRJ-BNQ-001</t>
  </si>
  <si>
    <t>PR-042</t>
  </si>
  <si>
    <t>2024-04-10</t>
  </si>
  <si>
    <t>2027-04-10</t>
  </si>
  <si>
    <t>2026-05-15</t>
  </si>
  <si>
    <t>2026-08-08</t>
  </si>
  <si>
    <t>TBP-ASSET-0043</t>
  </si>
  <si>
    <t>Scanner</t>
  </si>
  <si>
    <t>Fujitsu</t>
  </si>
  <si>
    <t>ScanSnap iX1600</t>
  </si>
  <si>
    <t>SCN-FJT-001</t>
  </si>
  <si>
    <t>SC-043</t>
  </si>
  <si>
    <t>2024-11-26</t>
  </si>
  <si>
    <t>2026-11-26</t>
  </si>
  <si>
    <t>2026-10-04</t>
  </si>
  <si>
    <t>Glass cleaning, roller inspection, driver update, scan quality test</t>
  </si>
  <si>
    <t>2026-05-30</t>
  </si>
  <si>
    <t>TBP-ASSET-0044</t>
  </si>
  <si>
    <t>Telephone</t>
  </si>
  <si>
    <t>Grandstream</t>
  </si>
  <si>
    <t>GRP2614 IP Phone</t>
  </si>
  <si>
    <t>TEL-GRS-001</t>
  </si>
  <si>
    <t>TE-044</t>
  </si>
  <si>
    <t>Reception</t>
  </si>
  <si>
    <t>2024-02-02</t>
  </si>
  <si>
    <t>2026-02-01</t>
  </si>
  <si>
    <t>2026-09-17</t>
  </si>
  <si>
    <t>Call quality test, firmware update, configuration backup</t>
  </si>
  <si>
    <t>192.168.1.245</t>
  </si>
  <si>
    <t>3F:EF:9B:CE:8B:FC</t>
  </si>
  <si>
    <t>TBP-ASSET-0045</t>
  </si>
  <si>
    <t>TEL-GRS-002</t>
  </si>
  <si>
    <t>TE-045</t>
  </si>
  <si>
    <t>2024-10-02</t>
  </si>
  <si>
    <t>2029-10-01</t>
  </si>
  <si>
    <t>192.168.1.16</t>
  </si>
  <si>
    <t>0A:89:14:59:F0:E2</t>
  </si>
  <si>
    <t>2026-07-06</t>
  </si>
  <si>
    <t>TBP-ASSET-0046</t>
  </si>
  <si>
    <t>External Drive</t>
  </si>
  <si>
    <t>Seagate</t>
  </si>
  <si>
    <t>Expansion 4TB</t>
  </si>
  <si>
    <t>EXT-SGT-001</t>
  </si>
  <si>
    <t>EX-046</t>
  </si>
  <si>
    <t>2025-10-14</t>
  </si>
  <si>
    <t>2030-10-13</t>
  </si>
  <si>
    <t>2026-05-19</t>
  </si>
  <si>
    <t>Health check, SMART status, data integrity verification</t>
  </si>
  <si>
    <t>2026-06-24</t>
  </si>
  <si>
    <t>TBP-ASSET-0047</t>
  </si>
  <si>
    <t>Firewall</t>
  </si>
  <si>
    <t>Security</t>
  </si>
  <si>
    <t>Fortinet</t>
  </si>
  <si>
    <t>FortiGate 60F</t>
  </si>
  <si>
    <t>FW-FTN-001</t>
  </si>
  <si>
    <t>FI-047</t>
  </si>
  <si>
    <t>2024-03-11</t>
  </si>
  <si>
    <t>2029-03-10</t>
  </si>
  <si>
    <t>Rule audit, threat log review, firmware/IPS update, penetration test, SSL certificate check</t>
  </si>
  <si>
    <t>192.168.1.112</t>
  </si>
  <si>
    <t>E8:2D:A1:81:A5:3B</t>
  </si>
  <si>
    <t>TBP-ASSET-0048</t>
  </si>
  <si>
    <t>UniFi U6 Lite</t>
  </si>
  <si>
    <t>AP-UBQ-003</t>
  </si>
  <si>
    <t>AC-048</t>
  </si>
  <si>
    <t>2025-01-22</t>
  </si>
  <si>
    <t>2030-01-21</t>
  </si>
  <si>
    <t>192.168.1.142</t>
  </si>
  <si>
    <t>E2:1A:68:88:43:93</t>
  </si>
  <si>
    <t>TBP-ASSET-0049</t>
  </si>
  <si>
    <t>Mercury</t>
  </si>
  <si>
    <t>M3200 3200VA</t>
  </si>
  <si>
    <t>UPS-MRC-001</t>
  </si>
  <si>
    <t>UP-049</t>
  </si>
  <si>
    <t>2025-02-01</t>
  </si>
  <si>
    <t>2027-02-01</t>
  </si>
  <si>
    <t>2026-08-14</t>
  </si>
  <si>
    <t>2026-08-06</t>
  </si>
  <si>
    <t>ARC. MICHAEL ALLEY</t>
  </si>
  <si>
    <t>PRODUCT TYPE</t>
  </si>
  <si>
    <t>SERIAL NUMBER</t>
  </si>
  <si>
    <t>IN USE</t>
  </si>
  <si>
    <t>NOT IN USE</t>
  </si>
  <si>
    <t>FAULTY</t>
  </si>
  <si>
    <t>REMARK</t>
  </si>
  <si>
    <t>YEAR STARTED USING</t>
  </si>
  <si>
    <t>TAYO-OJO OLUGBOYEGA</t>
  </si>
  <si>
    <t>HP OMEN,CORE17, 17 INCHES</t>
  </si>
  <si>
    <t xml:space="preserve"> 5CD746CLDF </t>
  </si>
  <si>
    <t>YES</t>
  </si>
  <si>
    <t>QUADRI BAKARE</t>
  </si>
  <si>
    <t>Acer predator G5-793</t>
  </si>
  <si>
    <t>IDOWU GBEMISOLA</t>
  </si>
  <si>
    <t xml:space="preserve">SARAH DENNIS </t>
  </si>
  <si>
    <t xml:space="preserve">MSI </t>
  </si>
  <si>
    <t>(JULY 7, 2022)</t>
  </si>
  <si>
    <t>NONSO</t>
  </si>
  <si>
    <t>OLD LAPTOP</t>
  </si>
  <si>
    <t>Feb. 2022</t>
  </si>
  <si>
    <t>RAPHEAL</t>
  </si>
  <si>
    <t>MSI GAMING GF72</t>
  </si>
  <si>
    <t>00179E- 0432</t>
  </si>
  <si>
    <t>(JUNE 1, 2022)</t>
  </si>
  <si>
    <t>AZEEZ</t>
  </si>
  <si>
    <t>MSI Crosshair 17</t>
  </si>
  <si>
    <t>(MAR. 6, 2023)</t>
  </si>
  <si>
    <t>KINGSLEY</t>
  </si>
  <si>
    <t>MSI KATANA GF76</t>
  </si>
  <si>
    <t>(JULY 21, 2022)</t>
  </si>
  <si>
    <t>WALE</t>
  </si>
  <si>
    <t xml:space="preserve"> (SEPT 23, 2022)</t>
  </si>
  <si>
    <t>IFE</t>
  </si>
  <si>
    <t>HP Laptop 15-dy2xxx</t>
  </si>
  <si>
    <t>NEW</t>
  </si>
  <si>
    <t xml:space="preserve">ESTHER </t>
  </si>
  <si>
    <t>(MAR. 3, 2023)</t>
  </si>
  <si>
    <t>Mar. 2023</t>
  </si>
  <si>
    <t xml:space="preserve">YEWANDE </t>
  </si>
  <si>
    <t>HP -15-fd0xxx</t>
  </si>
  <si>
    <t xml:space="preserve">YES </t>
  </si>
  <si>
    <t xml:space="preserve"> FEB 2025</t>
  </si>
  <si>
    <t>EMEKA</t>
  </si>
  <si>
    <t>HP EliteBook x360 830 G7 Notebook PC</t>
  </si>
  <si>
    <t>OLD</t>
  </si>
  <si>
    <t xml:space="preserve">BODE </t>
  </si>
  <si>
    <t>HP-Elite Book -x360-1030 G3</t>
  </si>
  <si>
    <t>NICOLE</t>
  </si>
  <si>
    <t>Acer Predator PHN16-71</t>
  </si>
  <si>
    <t>O</t>
  </si>
  <si>
    <t>TAHIR</t>
  </si>
  <si>
    <t xml:space="preserve">Asus TUF Gaming A17 </t>
  </si>
  <si>
    <t xml:space="preserve">Kachi </t>
  </si>
  <si>
    <t>Lenovo V15</t>
  </si>
  <si>
    <t xml:space="preserve"> PF2G69N5</t>
  </si>
  <si>
    <t xml:space="preserve">yes </t>
  </si>
  <si>
    <t xml:space="preserve">CUSTOM MADE </t>
  </si>
  <si>
    <t xml:space="preserve">ORE </t>
  </si>
  <si>
    <t xml:space="preserve">CPU/MONITOR /KEYBOARD / UPS /MOUSE </t>
  </si>
  <si>
    <t xml:space="preserve">UCHE </t>
  </si>
  <si>
    <t xml:space="preserve">JOSHUA </t>
  </si>
  <si>
    <t xml:space="preserve">TOLU </t>
  </si>
  <si>
    <t xml:space="preserve">RAHEEM </t>
  </si>
  <si>
    <t xml:space="preserve">VANESSA </t>
  </si>
  <si>
    <t>BF6OM</t>
  </si>
  <si>
    <t xml:space="preserve">SARAH </t>
  </si>
  <si>
    <t xml:space="preserve">DELL LAPTOP </t>
  </si>
  <si>
    <t xml:space="preserve">THE BUILDING PRACTICE LTD </t>
  </si>
  <si>
    <t>LAPTOP INVENTORY</t>
  </si>
  <si>
    <t>S/N</t>
  </si>
  <si>
    <t>Assigned To</t>
  </si>
  <si>
    <t>Product Type; Serial Number</t>
  </si>
  <si>
    <t>Unit Price N</t>
  </si>
  <si>
    <t>Amount N</t>
  </si>
  <si>
    <t>HP OMEN CORE i7; 5CD746CLDF</t>
  </si>
  <si>
    <t>Lenovo GF75 Thin; K2101N0128241</t>
  </si>
  <si>
    <t>MSI Gaming GF72; 00179E-0432</t>
  </si>
  <si>
    <t>SARAH DENNIS</t>
  </si>
  <si>
    <t>HP Envy TS-17; A8514A7EAB11</t>
  </si>
  <si>
    <t>Acer Predator G5-793; F7F71818D8E0</t>
  </si>
  <si>
    <t>MSI Katana GF76; K2203N01408215</t>
  </si>
  <si>
    <t>MSI Crosshair 17; K21NNO236523</t>
  </si>
  <si>
    <t>MSI Katana GF76; K2106N0132875</t>
  </si>
  <si>
    <t>MSI Katana GF76; K2203N0208837</t>
  </si>
  <si>
    <t>TIENADOR</t>
  </si>
  <si>
    <t>HP 15-fd0xxx; 9F9AC6656B3F</t>
  </si>
  <si>
    <t>MSI Crosshair 17; K2LLLNO236638</t>
  </si>
  <si>
    <t>ESTHER</t>
  </si>
  <si>
    <t>HP Laptop (i5 15.6) ; 8DC9240BF9CE</t>
  </si>
  <si>
    <t>YEWANDE</t>
  </si>
  <si>
    <t>HP EliteBook x360 830 G7; F8911AA5BECD</t>
  </si>
  <si>
    <t>HP EliteBook x360 1030 G3; A108FF8A3EC5</t>
  </si>
  <si>
    <t>BODE</t>
  </si>
  <si>
    <t>Acer Helios Neo 16; D9996F4396EF</t>
  </si>
  <si>
    <t>ASUS TUF Gaming A17; 8AB943271866</t>
  </si>
  <si>
    <t>Lenovo V15; PF2G69N5</t>
  </si>
  <si>
    <t>KACHI</t>
  </si>
  <si>
    <t>CPU + Monitor + KB + UPS + Mouse; (mapped)</t>
  </si>
  <si>
    <t>ORE</t>
  </si>
  <si>
    <t>UCHE</t>
  </si>
  <si>
    <t>JOSHUA</t>
  </si>
  <si>
    <t>Dell Laptop 16gb Itb B834DC45-41BC-4D56-8B33-DDFAFB86D4C4</t>
  </si>
  <si>
    <t>Grand Total (23 systems):</t>
  </si>
  <si>
    <t>Asset Types</t>
  </si>
  <si>
    <t>Categories</t>
  </si>
  <si>
    <t>Statuses</t>
  </si>
  <si>
    <t>Conditions</t>
  </si>
  <si>
    <t>Departments</t>
  </si>
  <si>
    <t>Yes / No</t>
  </si>
  <si>
    <t>Yes</t>
  </si>
  <si>
    <t>Available</t>
  </si>
  <si>
    <t>No</t>
  </si>
  <si>
    <t>Exception</t>
  </si>
  <si>
    <t>Expired</t>
  </si>
  <si>
    <t>N/A</t>
  </si>
  <si>
    <t>Pending</t>
  </si>
  <si>
    <t>In Storage</t>
  </si>
  <si>
    <t>Annual</t>
  </si>
  <si>
    <t>Not Found</t>
  </si>
  <si>
    <t>Not Applicable</t>
  </si>
  <si>
    <t>Finance</t>
  </si>
  <si>
    <t>Lost</t>
  </si>
  <si>
    <t>Faulty</t>
  </si>
  <si>
    <t>As Required</t>
  </si>
  <si>
    <t>Pending Renewal</t>
  </si>
  <si>
    <t>HR</t>
  </si>
  <si>
    <t>Unknown</t>
  </si>
  <si>
    <t>Transferred</t>
  </si>
  <si>
    <t>Accounts</t>
  </si>
  <si>
    <t>Retired</t>
  </si>
  <si>
    <t>Business Development</t>
  </si>
  <si>
    <t>Disposed</t>
  </si>
  <si>
    <t>Other</t>
  </si>
  <si>
    <t>Maintenance ID</t>
  </si>
  <si>
    <t>Make / Model</t>
  </si>
  <si>
    <t>Frequency</t>
  </si>
  <si>
    <t>Scheduled Date</t>
  </si>
  <si>
    <t>Actual Date</t>
  </si>
  <si>
    <t>Service Provider</t>
  </si>
  <si>
    <t>Technician</t>
  </si>
  <si>
    <t>Maintenance Cost (NGN)</t>
  </si>
  <si>
    <t>Work Order / Reference</t>
  </si>
  <si>
    <t>Exception / Action Required</t>
  </si>
  <si>
    <t>MT-0001</t>
  </si>
  <si>
    <t>HP OMEN Core i7 17"</t>
  </si>
  <si>
    <t>2022-12-24</t>
  </si>
  <si>
    <t>2023-03-24</t>
  </si>
  <si>
    <t>Internal IT Team</t>
  </si>
  <si>
    <t>Completed</t>
  </si>
  <si>
    <t>WO-2022-3286</t>
  </si>
  <si>
    <t>Routine check OK. Antivirus definitions updated. Battery health at 87%.</t>
  </si>
  <si>
    <t>MT-0002</t>
  </si>
  <si>
    <t>2023-03-21</t>
  </si>
  <si>
    <t>2023-06-22</t>
  </si>
  <si>
    <t>CompuServe Maintenance</t>
  </si>
  <si>
    <t>WO-2023-2535</t>
  </si>
  <si>
    <t>Full maintenance completed. Windows updates applied. No issues found.</t>
  </si>
  <si>
    <t>MT-0003</t>
  </si>
  <si>
    <t>2023-09-20</t>
  </si>
  <si>
    <t>FixIT Lagos</t>
  </si>
  <si>
    <t>WO-2023-8359</t>
  </si>
  <si>
    <t>Checked and serviced. Keyboard and trackpad functioning normally.</t>
  </si>
  <si>
    <t>MT-0004</t>
  </si>
  <si>
    <t>2023-09-22</t>
  </si>
  <si>
    <t>2023-12-19</t>
  </si>
  <si>
    <t>External Engineer</t>
  </si>
  <si>
    <t>WO-2023-5552</t>
  </si>
  <si>
    <t>Hardware scan clean. Thermal paste reapplied. Fan cleaned.</t>
  </si>
  <si>
    <t>MT-0005</t>
  </si>
  <si>
    <t>2023-12-17</t>
  </si>
  <si>
    <t>2024-03-18</t>
  </si>
  <si>
    <t>TechCare Nigeria</t>
  </si>
  <si>
    <t>WO-2023-6881</t>
  </si>
  <si>
    <t>Battery cycle count at 423 — within normal range. SSD health 94%.</t>
  </si>
  <si>
    <t>MT-0006</t>
  </si>
  <si>
    <t>2024-03-21</t>
  </si>
  <si>
    <t>2024-06-16</t>
  </si>
  <si>
    <t>WO-2024-2291</t>
  </si>
  <si>
    <t>MT-0007</t>
  </si>
  <si>
    <t>2024-06-14</t>
  </si>
  <si>
    <t>2024-09-14</t>
  </si>
  <si>
    <t>WO-2024-1750</t>
  </si>
  <si>
    <t>MT-0008</t>
  </si>
  <si>
    <t>2024-09-15</t>
  </si>
  <si>
    <t>2024-12-13</t>
  </si>
  <si>
    <t>WO-2024-8428</t>
  </si>
  <si>
    <t>MT-0009</t>
  </si>
  <si>
    <t>2024-12-12</t>
  </si>
  <si>
    <t>2025-03-13</t>
  </si>
  <si>
    <t>J. Okoro</t>
  </si>
  <si>
    <t>WO-2024-9751</t>
  </si>
  <si>
    <t>MT-0010</t>
  </si>
  <si>
    <t>2025-03-10</t>
  </si>
  <si>
    <t>2025-06-11</t>
  </si>
  <si>
    <t>WO-2025-4752</t>
  </si>
  <si>
    <t>All diagnostics passed. OS updated to latest build. Disk cleanup freed 12GB.</t>
  </si>
  <si>
    <t>MT-0011</t>
  </si>
  <si>
    <t>2025-09-09</t>
  </si>
  <si>
    <t>S. Bello</t>
  </si>
  <si>
    <t>WO-2025-9179</t>
  </si>
  <si>
    <t>Firmware updated to latest version. All ports tested OK.</t>
  </si>
  <si>
    <t>MT-0012</t>
  </si>
  <si>
    <t>2025-12-08</t>
  </si>
  <si>
    <t>WO-2025-9830</t>
  </si>
  <si>
    <t>MT-0013</t>
  </si>
  <si>
    <t>2026-03-08</t>
  </si>
  <si>
    <t>WO-2025-3266</t>
  </si>
  <si>
    <t>Minor issue noted — monitoring until next cycle</t>
  </si>
  <si>
    <t>Antivirus scan completed — 0 threats. System optimised.</t>
  </si>
  <si>
    <t>MT-0014</t>
  </si>
  <si>
    <t>2026-03-06</t>
  </si>
  <si>
    <t>WO-2026-7304</t>
  </si>
  <si>
    <t>MT-0015</t>
  </si>
  <si>
    <t>WO-2026-5371</t>
  </si>
  <si>
    <t>Battery degradation detected — plan replacement</t>
  </si>
  <si>
    <t>MT-0016</t>
  </si>
  <si>
    <t>2026-12-03</t>
  </si>
  <si>
    <t>Scheduled</t>
  </si>
  <si>
    <t>WO-2026-5315</t>
  </si>
  <si>
    <t>Pre-booked with service provider</t>
  </si>
  <si>
    <t>MT-0017</t>
  </si>
  <si>
    <t>Acer Predator G5-793</t>
  </si>
  <si>
    <t>2018-05-21</t>
  </si>
  <si>
    <t>2018-05-20</t>
  </si>
  <si>
    <t>2018-08-19</t>
  </si>
  <si>
    <t>WO-2018-7126</t>
  </si>
  <si>
    <t>MT-0018</t>
  </si>
  <si>
    <t>2019-02-15</t>
  </si>
  <si>
    <t>2019-02-13</t>
  </si>
  <si>
    <t>2019-05-16</t>
  </si>
  <si>
    <t>WO-2019-6947</t>
  </si>
  <si>
    <t>MT-0019</t>
  </si>
  <si>
    <t>2019-05-20</t>
  </si>
  <si>
    <t>2019-08-14</t>
  </si>
  <si>
    <t>WO-2019-2133</t>
  </si>
  <si>
    <t>MT-0020</t>
  </si>
  <si>
    <t>2019-11-12</t>
  </si>
  <si>
    <t>2019-11-17</t>
  </si>
  <si>
    <t>2020-02-10</t>
  </si>
  <si>
    <t>WO-2019-4295</t>
  </si>
  <si>
    <t>MT-0021</t>
  </si>
  <si>
    <t>2020-02-08</t>
  </si>
  <si>
    <t>2020-05-10</t>
  </si>
  <si>
    <t>WO-2020-5061</t>
  </si>
  <si>
    <t>MT-0022</t>
  </si>
  <si>
    <t>2020-05-08</t>
  </si>
  <si>
    <t>2020-08-08</t>
  </si>
  <si>
    <t>WO-2020-1964</t>
  </si>
  <si>
    <t>MT-0023</t>
  </si>
  <si>
    <t>2020-08-12</t>
  </si>
  <si>
    <t>2020-11-06</t>
  </si>
  <si>
    <t>WO-2020-4510</t>
  </si>
  <si>
    <t>MT-0024</t>
  </si>
  <si>
    <t>2020-11-09</t>
  </si>
  <si>
    <t>2021-02-04</t>
  </si>
  <si>
    <t>WO-2020-4119</t>
  </si>
  <si>
    <t>MT-0025</t>
  </si>
  <si>
    <t>2021-02-02</t>
  </si>
  <si>
    <t>2021-05-05</t>
  </si>
  <si>
    <t>WO-2021-1993</t>
  </si>
  <si>
    <t>MT-0026</t>
  </si>
  <si>
    <t>2021-08-03</t>
  </si>
  <si>
    <t>WO-2021-9786</t>
  </si>
  <si>
    <t>MT-0027</t>
  </si>
  <si>
    <t>2021-08-07</t>
  </si>
  <si>
    <t>2021-11-01</t>
  </si>
  <si>
    <t>WO-2021-2604</t>
  </si>
  <si>
    <t>MT-0028</t>
  </si>
  <si>
    <t>2021-10-31</t>
  </si>
  <si>
    <t>2022-01-30</t>
  </si>
  <si>
    <t>WO-2021-7658</t>
  </si>
  <si>
    <t>MT-0029</t>
  </si>
  <si>
    <t>2022-02-02</t>
  </si>
  <si>
    <t>2022-04-30</t>
  </si>
  <si>
    <t>WO-2022-1035</t>
  </si>
  <si>
    <t>MT-0030</t>
  </si>
  <si>
    <t>2022-05-05</t>
  </si>
  <si>
    <t>2022-07-29</t>
  </si>
  <si>
    <t>WO-2022-8973</t>
  </si>
  <si>
    <t>MT-0031</t>
  </si>
  <si>
    <t>2022-10-27</t>
  </si>
  <si>
    <t>2022-10-24</t>
  </si>
  <si>
    <t>2023-01-25</t>
  </si>
  <si>
    <t>WO-2022-1821</t>
  </si>
  <si>
    <t>MT-0032</t>
  </si>
  <si>
    <t>2023-01-24</t>
  </si>
  <si>
    <t>2023-04-25</t>
  </si>
  <si>
    <t>WO-2023-2122</t>
  </si>
  <si>
    <t>MT-0033</t>
  </si>
  <si>
    <t>2023-04-23</t>
  </si>
  <si>
    <t>2023-07-24</t>
  </si>
  <si>
    <t>WO-2023-7868</t>
  </si>
  <si>
    <t>MT-0034</t>
  </si>
  <si>
    <t>2023-07-25</t>
  </si>
  <si>
    <t>2023-10-22</t>
  </si>
  <si>
    <t>WO-2023-7484</t>
  </si>
  <si>
    <t>MT-0035</t>
  </si>
  <si>
    <t>2023-10-26</t>
  </si>
  <si>
    <t>2024-01-20</t>
  </si>
  <si>
    <t>WO-2023-2638</t>
  </si>
  <si>
    <t>MT-0036</t>
  </si>
  <si>
    <t>2024-04-19</t>
  </si>
  <si>
    <t>WO-2024-7054</t>
  </si>
  <si>
    <t>MT-0037</t>
  </si>
  <si>
    <t>2024-04-24</t>
  </si>
  <si>
    <t>2024-07-18</t>
  </si>
  <si>
    <t>WO-2024-5905</t>
  </si>
  <si>
    <t>MT-0038</t>
  </si>
  <si>
    <t>2024-07-19</t>
  </si>
  <si>
    <t>2024-10-16</t>
  </si>
  <si>
    <t>WO-2024-5616</t>
  </si>
  <si>
    <t>MT-0039</t>
  </si>
  <si>
    <t>2024-10-17</t>
  </si>
  <si>
    <t>2025-01-14</t>
  </si>
  <si>
    <t>WO-2024-1832</t>
  </si>
  <si>
    <t>MT-0040</t>
  </si>
  <si>
    <t>2025-01-13</t>
  </si>
  <si>
    <t>2025-04-14</t>
  </si>
  <si>
    <t>WO-2025-5291</t>
  </si>
  <si>
    <t>MT-0041</t>
  </si>
  <si>
    <t>2025-04-12</t>
  </si>
  <si>
    <t>2025-07-13</t>
  </si>
  <si>
    <t>WO-2025-3442</t>
  </si>
  <si>
    <t>MT-0042</t>
  </si>
  <si>
    <t>2025-07-10</t>
  </si>
  <si>
    <t>2025-10-11</t>
  </si>
  <si>
    <t>WO-2025-6050</t>
  </si>
  <si>
    <t>MT-0043</t>
  </si>
  <si>
    <t>2026-01-09</t>
  </si>
  <si>
    <t>WO-2026-2684</t>
  </si>
  <si>
    <t>MT-0044</t>
  </si>
  <si>
    <t>WO-2026-3900</t>
  </si>
  <si>
    <t>Performance below benchmark — investigate further</t>
  </si>
  <si>
    <t>MT-0045</t>
  </si>
  <si>
    <t>WO-2026-3608</t>
  </si>
  <si>
    <t>Upcoming scheduled maintenance</t>
  </si>
  <si>
    <t>MT-0046</t>
  </si>
  <si>
    <t>2022-08-15</t>
  </si>
  <si>
    <t>2022-11-13</t>
  </si>
  <si>
    <t>WO-2022-8541</t>
  </si>
  <si>
    <t>MT-0047</t>
  </si>
  <si>
    <t>2023-02-11</t>
  </si>
  <si>
    <t>WO-2022-7528</t>
  </si>
  <si>
    <t>MT-0048</t>
  </si>
  <si>
    <t>2023-05-12</t>
  </si>
  <si>
    <t>2023-05-09</t>
  </si>
  <si>
    <t>2023-08-10</t>
  </si>
  <si>
    <t>WO-2023-2889</t>
  </si>
  <si>
    <t>MT-0049</t>
  </si>
  <si>
    <t>2023-08-12</t>
  </si>
  <si>
    <t>2023-11-08</t>
  </si>
  <si>
    <t>WO-2023-8149</t>
  </si>
  <si>
    <t>MT-0050</t>
  </si>
  <si>
    <t>2023-11-05</t>
  </si>
  <si>
    <t>2024-02-06</t>
  </si>
  <si>
    <t>WO-2023-9518</t>
  </si>
  <si>
    <t>MT-0051</t>
  </si>
  <si>
    <t>2024-08-04</t>
  </si>
  <si>
    <t>2024-08-09</t>
  </si>
  <si>
    <t>2024-11-02</t>
  </si>
  <si>
    <t>WO-2024-6067</t>
  </si>
  <si>
    <t>MT-0052</t>
  </si>
  <si>
    <t>2024-11-05</t>
  </si>
  <si>
    <t>2025-01-31</t>
  </si>
  <si>
    <t>WO-2024-7211</t>
  </si>
  <si>
    <t>MT-0053</t>
  </si>
  <si>
    <t>2025-05-01</t>
  </si>
  <si>
    <t>WO-2025-4443</t>
  </si>
  <si>
    <t>MT-0054</t>
  </si>
  <si>
    <t>2025-05-05</t>
  </si>
  <si>
    <t>2025-07-30</t>
  </si>
  <si>
    <t>WO-2025-4501</t>
  </si>
  <si>
    <t>MT-0055</t>
  </si>
  <si>
    <t>2025-08-04</t>
  </si>
  <si>
    <t>2025-10-28</t>
  </si>
  <si>
    <t>WO-2025-6491</t>
  </si>
  <si>
    <t>MT-0056</t>
  </si>
  <si>
    <t>2026-01-26</t>
  </si>
  <si>
    <t>WO-2025-3414</t>
  </si>
  <si>
    <t>MT-0057</t>
  </si>
  <si>
    <t>2026-01-29</t>
  </si>
  <si>
    <t>WO-2026-4185</t>
  </si>
  <si>
    <t>MT-0058</t>
  </si>
  <si>
    <t>2026-04-29</t>
  </si>
  <si>
    <t>WO-2026-4585</t>
  </si>
  <si>
    <t>MT-0059</t>
  </si>
  <si>
    <t>WO-2026-8478</t>
  </si>
  <si>
    <t>MT-0060</t>
  </si>
  <si>
    <t>2027-01-21</t>
  </si>
  <si>
    <t>WO-2026-9270</t>
  </si>
  <si>
    <t>MT-0061</t>
  </si>
  <si>
    <t>MSI Gaming GF72</t>
  </si>
  <si>
    <t>2022-09-06</t>
  </si>
  <si>
    <t>2022-09-10</t>
  </si>
  <si>
    <t>2022-12-05</t>
  </si>
  <si>
    <t>WO-2022-5246</t>
  </si>
  <si>
    <t>MT-0062</t>
  </si>
  <si>
    <t>2022-12-06</t>
  </si>
  <si>
    <t>2023-03-05</t>
  </si>
  <si>
    <t>WO-2022-8206</t>
  </si>
  <si>
    <t>MT-0063</t>
  </si>
  <si>
    <t>2023-03-04</t>
  </si>
  <si>
    <t>2023-06-03</t>
  </si>
  <si>
    <t>WO-2023-3471</t>
  </si>
  <si>
    <t>MT-0064</t>
  </si>
  <si>
    <t>2023-06-06</t>
  </si>
  <si>
    <t>2023-09-01</t>
  </si>
  <si>
    <t>WO-2023-6421</t>
  </si>
  <si>
    <t>MT-0065</t>
  </si>
  <si>
    <t>2023-09-04</t>
  </si>
  <si>
    <t>2023-11-30</t>
  </si>
  <si>
    <t>WO-2023-8814</t>
  </si>
  <si>
    <t>MT-0066</t>
  </si>
  <si>
    <t>2023-12-04</t>
  </si>
  <si>
    <t>2024-02-28</t>
  </si>
  <si>
    <t>WO-2023-4595</t>
  </si>
  <si>
    <t>MT-0067</t>
  </si>
  <si>
    <t>2024-03-03</t>
  </si>
  <si>
    <t>2024-05-28</t>
  </si>
  <si>
    <t>WO-2024-3091</t>
  </si>
  <si>
    <t>MT-0068</t>
  </si>
  <si>
    <t>2024-05-31</t>
  </si>
  <si>
    <t>2024-08-26</t>
  </si>
  <si>
    <t>WO-2024-3223</t>
  </si>
  <si>
    <t>MT-0069</t>
  </si>
  <si>
    <t>2024-08-28</t>
  </si>
  <si>
    <t>2024-11-24</t>
  </si>
  <si>
    <t>WO-2024-6529</t>
  </si>
  <si>
    <t>MT-0070</t>
  </si>
  <si>
    <t>2024-11-21</t>
  </si>
  <si>
    <t>WO-2024-9837</t>
  </si>
  <si>
    <t>MT-0071</t>
  </si>
  <si>
    <t>2025-02-19</t>
  </si>
  <si>
    <t>2025-05-23</t>
  </si>
  <si>
    <t>WO-2025-5051</t>
  </si>
  <si>
    <t>MT-0072</t>
  </si>
  <si>
    <t>2025-05-21</t>
  </si>
  <si>
    <t>2025-08-21</t>
  </si>
  <si>
    <t>WO-2025-4571</t>
  </si>
  <si>
    <t>MT-0073</t>
  </si>
  <si>
    <t>2025-08-22</t>
  </si>
  <si>
    <t>2025-11-19</t>
  </si>
  <si>
    <t>WO-2025-2771</t>
  </si>
  <si>
    <t>MT-0074</t>
  </si>
  <si>
    <t>2026-02-17</t>
  </si>
  <si>
    <t>WO-2025-2245</t>
  </si>
  <si>
    <t>MT-0075</t>
  </si>
  <si>
    <t>2026-02-19</t>
  </si>
  <si>
    <t>2026-05-18</t>
  </si>
  <si>
    <t>WO-2026-9728</t>
  </si>
  <si>
    <t>MT-0076</t>
  </si>
  <si>
    <t>WO-2026-9031</t>
  </si>
  <si>
    <t>MT-0077</t>
  </si>
  <si>
    <t>2026-11-14</t>
  </si>
  <si>
    <t>WO-2026-8135</t>
  </si>
  <si>
    <t>MT-0078</t>
  </si>
  <si>
    <t>HP Envy TS-17</t>
  </si>
  <si>
    <t>2023-05-03</t>
  </si>
  <si>
    <t>2023-05-06</t>
  </si>
  <si>
    <t>2023-08-01</t>
  </si>
  <si>
    <t>WO-2023-5397</t>
  </si>
  <si>
    <t>MT-0079</t>
  </si>
  <si>
    <t>2023-10-30</t>
  </si>
  <si>
    <t>2023-11-03</t>
  </si>
  <si>
    <t>2024-01-28</t>
  </si>
  <si>
    <t>WO-2023-7209</t>
  </si>
  <si>
    <t>MT-0080</t>
  </si>
  <si>
    <t>2024-01-30</t>
  </si>
  <si>
    <t>WO-2024-5581</t>
  </si>
  <si>
    <t>MT-0081</t>
  </si>
  <si>
    <t>2024-07-26</t>
  </si>
  <si>
    <t>2024-07-31</t>
  </si>
  <si>
    <t>2024-10-24</t>
  </si>
  <si>
    <t>WO-2024-4937</t>
  </si>
  <si>
    <t>MT-0082</t>
  </si>
  <si>
    <t>2024-10-25</t>
  </si>
  <si>
    <t>WO-2024-4630</t>
  </si>
  <si>
    <t>MT-0083</t>
  </si>
  <si>
    <t>2025-01-27</t>
  </si>
  <si>
    <t>WO-2025-9698</t>
  </si>
  <si>
    <t>MT-0084</t>
  </si>
  <si>
    <t>2025-04-23</t>
  </si>
  <si>
    <t>2025-07-21</t>
  </si>
  <si>
    <t>WO-2025-6023</t>
  </si>
  <si>
    <t>MT-0085</t>
  </si>
  <si>
    <t>2025-10-19</t>
  </si>
  <si>
    <t>WO-2025-4545</t>
  </si>
  <si>
    <t>MT-0086</t>
  </si>
  <si>
    <t>2026-01-17</t>
  </si>
  <si>
    <t>2026-04-17</t>
  </si>
  <si>
    <t>WO-2026-5853</t>
  </si>
  <si>
    <t>MT-0087</t>
  </si>
  <si>
    <t>WO-2026-1893</t>
  </si>
  <si>
    <t>MT-0088</t>
  </si>
  <si>
    <t>WO-2026-5658</t>
  </si>
  <si>
    <t>MT-0089</t>
  </si>
  <si>
    <t>2027-01-12</t>
  </si>
  <si>
    <t>WO-2026-5136</t>
  </si>
  <si>
    <t>MT-0090</t>
  </si>
  <si>
    <t>2022-07-13</t>
  </si>
  <si>
    <t>2022-07-10</t>
  </si>
  <si>
    <t>2022-10-11</t>
  </si>
  <si>
    <t>WO-2022-3485</t>
  </si>
  <si>
    <t>MT-0091</t>
  </si>
  <si>
    <t>2022-10-16</t>
  </si>
  <si>
    <t>2023-01-09</t>
  </si>
  <si>
    <t>WO-2022-7818</t>
  </si>
  <si>
    <t>MT-0092</t>
  </si>
  <si>
    <t>2023-01-12</t>
  </si>
  <si>
    <t>2023-04-09</t>
  </si>
  <si>
    <t>WO-2023-6003</t>
  </si>
  <si>
    <t>MT-0093</t>
  </si>
  <si>
    <t>2023-04-10</t>
  </si>
  <si>
    <t>2023-07-08</t>
  </si>
  <si>
    <t>WO-2023-2330</t>
  </si>
  <si>
    <t>MT-0094</t>
  </si>
  <si>
    <t>2023-07-12</t>
  </si>
  <si>
    <t>2023-10-06</t>
  </si>
  <si>
    <t>WO-2023-8699</t>
  </si>
  <si>
    <t>MT-0095</t>
  </si>
  <si>
    <t>2024-01-04</t>
  </si>
  <si>
    <t>WO-2023-5334</t>
  </si>
  <si>
    <t>MT-0096</t>
  </si>
  <si>
    <t>2024-01-03</t>
  </si>
  <si>
    <t>2024-04-03</t>
  </si>
  <si>
    <t>WO-2024-2169</t>
  </si>
  <si>
    <t>MT-0097</t>
  </si>
  <si>
    <t>2024-04-01</t>
  </si>
  <si>
    <t>2024-07-02</t>
  </si>
  <si>
    <t>WO-2024-8679</t>
  </si>
  <si>
    <t>MT-0098</t>
  </si>
  <si>
    <t>2024-06-30</t>
  </si>
  <si>
    <t>2024-09-30</t>
  </si>
  <si>
    <t>WO-2024-1653</t>
  </si>
  <si>
    <t>MT-0099</t>
  </si>
  <si>
    <t>2024-09-27</t>
  </si>
  <si>
    <t>2024-12-29</t>
  </si>
  <si>
    <t>WO-2024-5415</t>
  </si>
  <si>
    <t>MT-0100</t>
  </si>
  <si>
    <t>2024-12-28</t>
  </si>
  <si>
    <t>2025-03-29</t>
  </si>
  <si>
    <t>WO-2024-8141</t>
  </si>
  <si>
    <t>MT-0101</t>
  </si>
  <si>
    <t>2025-03-27</t>
  </si>
  <si>
    <t>2025-06-27</t>
  </si>
  <si>
    <t>WO-2025-3634</t>
  </si>
  <si>
    <t>MT-0102</t>
  </si>
  <si>
    <t>2025-07-01</t>
  </si>
  <si>
    <t>2025-09-25</t>
  </si>
  <si>
    <t>WO-2025-2442</t>
  </si>
  <si>
    <t>MT-0103</t>
  </si>
  <si>
    <t>2025-12-24</t>
  </si>
  <si>
    <t>2025-12-27</t>
  </si>
  <si>
    <t>2026-03-24</t>
  </si>
  <si>
    <t>WO-2025-1888</t>
  </si>
  <si>
    <t>MT-0104</t>
  </si>
  <si>
    <t>WO-2026-5375</t>
  </si>
  <si>
    <t>MT-0105</t>
  </si>
  <si>
    <t>WO-2026-4920</t>
  </si>
  <si>
    <t>MT-0106</t>
  </si>
  <si>
    <t>2026-12-19</t>
  </si>
  <si>
    <t>WO-2026-4681</t>
  </si>
  <si>
    <t>MT-0107</t>
  </si>
  <si>
    <t>2023-11-24</t>
  </si>
  <si>
    <t>2023-11-25</t>
  </si>
  <si>
    <t>WO-2023-9337</t>
  </si>
  <si>
    <t>MT-0108</t>
  </si>
  <si>
    <t>2024-05-22</t>
  </si>
  <si>
    <t>2024-08-20</t>
  </si>
  <si>
    <t>WO-2024-9327</t>
  </si>
  <si>
    <t>MT-0109</t>
  </si>
  <si>
    <t>2024-08-25</t>
  </si>
  <si>
    <t>2024-11-18</t>
  </si>
  <si>
    <t>WO-2024-5377</t>
  </si>
  <si>
    <t>MT-0110</t>
  </si>
  <si>
    <t>2024-11-22</t>
  </si>
  <si>
    <t>2025-02-16</t>
  </si>
  <si>
    <t>WO-2024-9824</t>
  </si>
  <si>
    <t>MT-0111</t>
  </si>
  <si>
    <t>2025-02-18</t>
  </si>
  <si>
    <t>2025-05-17</t>
  </si>
  <si>
    <t>WO-2025-4090</t>
  </si>
  <si>
    <t>MT-0112</t>
  </si>
  <si>
    <t>2025-05-19</t>
  </si>
  <si>
    <t>2025-08-15</t>
  </si>
  <si>
    <t>WO-2025-8749</t>
  </si>
  <si>
    <t>MT-0113</t>
  </si>
  <si>
    <t>2025-08-12</t>
  </si>
  <si>
    <t>WO-2025-3068</t>
  </si>
  <si>
    <t>MT-0114</t>
  </si>
  <si>
    <t>2025-11-10</t>
  </si>
  <si>
    <t>2026-02-11</t>
  </si>
  <si>
    <t>WO-2025-3361</t>
  </si>
  <si>
    <t>MT-0115</t>
  </si>
  <si>
    <t>2026-02-14</t>
  </si>
  <si>
    <t>WO-2026-2315</t>
  </si>
  <si>
    <t>MT-0116</t>
  </si>
  <si>
    <t>WO-2026-1588</t>
  </si>
  <si>
    <t>MT-0117</t>
  </si>
  <si>
    <t>2026-11-08</t>
  </si>
  <si>
    <t>Overdue</t>
  </si>
  <si>
    <t>WO-2026-8110</t>
  </si>
  <si>
    <t>Maintenance overdue — schedule immediately</t>
  </si>
  <si>
    <t>Maintenance overdue — requires immediate scheduling</t>
  </si>
  <si>
    <t>MT-0118</t>
  </si>
  <si>
    <t>MSI Katana GF76</t>
  </si>
  <si>
    <t>2022-11-02</t>
  </si>
  <si>
    <t>2023-01-31</t>
  </si>
  <si>
    <t>WO-2022-1919</t>
  </si>
  <si>
    <t>MT-0119</t>
  </si>
  <si>
    <t>2023-01-30</t>
  </si>
  <si>
    <t>2023-05-01</t>
  </si>
  <si>
    <t>WO-2023-3868</t>
  </si>
  <si>
    <t>MT-0120</t>
  </si>
  <si>
    <t>2023-04-30</t>
  </si>
  <si>
    <t>2023-07-30</t>
  </si>
  <si>
    <t>WO-2023-4804</t>
  </si>
  <si>
    <t>MT-0121</t>
  </si>
  <si>
    <t>2023-07-31</t>
  </si>
  <si>
    <t>2023-10-28</t>
  </si>
  <si>
    <t>WO-2023-9955</t>
  </si>
  <si>
    <t>MT-0122</t>
  </si>
  <si>
    <t>2023-11-01</t>
  </si>
  <si>
    <t>2024-01-26</t>
  </si>
  <si>
    <t>WO-2023-5949</t>
  </si>
  <si>
    <t>MT-0123</t>
  </si>
  <si>
    <t>2024-04-25</t>
  </si>
  <si>
    <t>WO-2024-5847</t>
  </si>
  <si>
    <t>MT-0124</t>
  </si>
  <si>
    <t>2024-04-26</t>
  </si>
  <si>
    <t>2024-07-24</t>
  </si>
  <si>
    <t>WO-2024-4770</t>
  </si>
  <si>
    <t>MT-0125</t>
  </si>
  <si>
    <t>2024-07-21</t>
  </si>
  <si>
    <t>2024-10-22</t>
  </si>
  <si>
    <t>WO-2024-6061</t>
  </si>
  <si>
    <t>MT-0126</t>
  </si>
  <si>
    <t>2025-01-20</t>
  </si>
  <si>
    <t>WO-2024-3877</t>
  </si>
  <si>
    <t>MT-0127</t>
  </si>
  <si>
    <t>2025-01-19</t>
  </si>
  <si>
    <t>2025-04-20</t>
  </si>
  <si>
    <t>WO-2025-5210</t>
  </si>
  <si>
    <t>MT-0128</t>
  </si>
  <si>
    <t>2025-04-24</t>
  </si>
  <si>
    <t>2025-07-19</t>
  </si>
  <si>
    <t>WO-2025-2233</t>
  </si>
  <si>
    <t>MT-0129</t>
  </si>
  <si>
    <t>2025-07-17</t>
  </si>
  <si>
    <t>2025-10-17</t>
  </si>
  <si>
    <t>WO-2025-7464</t>
  </si>
  <si>
    <t>MT-0130</t>
  </si>
  <si>
    <t>2026-01-15</t>
  </si>
  <si>
    <t>WO-2025-2775</t>
  </si>
  <si>
    <t>MT-0131</t>
  </si>
  <si>
    <t>2026-01-13</t>
  </si>
  <si>
    <t>2026-04-15</t>
  </si>
  <si>
    <t>WO-2026-8606</t>
  </si>
  <si>
    <t>MT-0132</t>
  </si>
  <si>
    <t>2026-04-19</t>
  </si>
  <si>
    <t>WO-2026-2902</t>
  </si>
  <si>
    <t>MT-0133</t>
  </si>
  <si>
    <t>WO-2026-7866</t>
  </si>
  <si>
    <t>MT-0134</t>
  </si>
  <si>
    <t>WO-2026-7686</t>
  </si>
  <si>
    <t>Routine quarterly service — no issues anticipated</t>
  </si>
  <si>
    <t>MT-0135</t>
  </si>
  <si>
    <t>2022-04-16</t>
  </si>
  <si>
    <t>2022-07-15</t>
  </si>
  <si>
    <t>WO-2022-6942</t>
  </si>
  <si>
    <t>MT-0136</t>
  </si>
  <si>
    <t>2022-07-18</t>
  </si>
  <si>
    <t>2022-10-13</t>
  </si>
  <si>
    <t>WO-2022-5520</t>
  </si>
  <si>
    <t>MT-0137</t>
  </si>
  <si>
    <t>2022-10-10</t>
  </si>
  <si>
    <t>2023-01-11</t>
  </si>
  <si>
    <t>WO-2022-1828</t>
  </si>
  <si>
    <t>MT-0138</t>
  </si>
  <si>
    <t>2023-01-16</t>
  </si>
  <si>
    <t>2023-04-11</t>
  </si>
  <si>
    <t>WO-2023-4394</t>
  </si>
  <si>
    <t>MT-0139</t>
  </si>
  <si>
    <t>2023-04-12</t>
  </si>
  <si>
    <t>2023-07-10</t>
  </si>
  <si>
    <t>WO-2023-3370</t>
  </si>
  <si>
    <t>MT-0140</t>
  </si>
  <si>
    <t>2023-07-07</t>
  </si>
  <si>
    <t>2023-10-08</t>
  </si>
  <si>
    <t>WO-2023-6869</t>
  </si>
  <si>
    <t>MT-0141</t>
  </si>
  <si>
    <t>2023-10-11</t>
  </si>
  <si>
    <t>2024-01-06</t>
  </si>
  <si>
    <t>WO-2023-9619</t>
  </si>
  <si>
    <t>MT-0142</t>
  </si>
  <si>
    <t>2024-01-10</t>
  </si>
  <si>
    <t>2024-04-05</t>
  </si>
  <si>
    <t>WO-2024-9254</t>
  </si>
  <si>
    <t>MT-0143</t>
  </si>
  <si>
    <t>2024-04-02</t>
  </si>
  <si>
    <t>2024-07-04</t>
  </si>
  <si>
    <t>WO-2024-1996</t>
  </si>
  <si>
    <t>MT-0144</t>
  </si>
  <si>
    <t>WO-2024-2323</t>
  </si>
  <si>
    <t>MT-0145</t>
  </si>
  <si>
    <t>2024-10-07</t>
  </si>
  <si>
    <t>2024-12-31</t>
  </si>
  <si>
    <t>WO-2024-5831</t>
  </si>
  <si>
    <t>MT-0146</t>
  </si>
  <si>
    <t>2025-01-03</t>
  </si>
  <si>
    <t>2025-03-31</t>
  </si>
  <si>
    <t>WO-2024-8398</t>
  </si>
  <si>
    <t>MT-0147</t>
  </si>
  <si>
    <t>2025-04-02</t>
  </si>
  <si>
    <t>2025-06-29</t>
  </si>
  <si>
    <t>WO-2025-7992</t>
  </si>
  <si>
    <t>MT-0148</t>
  </si>
  <si>
    <t>2025-12-26</t>
  </si>
  <si>
    <t>WO-2025-2398</t>
  </si>
  <si>
    <t>MT-0149</t>
  </si>
  <si>
    <t>2025-12-31</t>
  </si>
  <si>
    <t>2026-03-26</t>
  </si>
  <si>
    <t>WO-2025-6400</t>
  </si>
  <si>
    <t>MT-0150</t>
  </si>
  <si>
    <t>2026-03-27</t>
  </si>
  <si>
    <t>WO-2026-6119</t>
  </si>
  <si>
    <t>Fan noise increasing — monitor at next check</t>
  </si>
  <si>
    <t>MT-0151</t>
  </si>
  <si>
    <t>WO-2026-6736</t>
  </si>
  <si>
    <t>MT-0152</t>
  </si>
  <si>
    <t>WO-2026-1430</t>
  </si>
  <si>
    <t>MT-0153</t>
  </si>
  <si>
    <t>2023-12-21</t>
  </si>
  <si>
    <t>WO-2023-1100</t>
  </si>
  <si>
    <t>MT-0154</t>
  </si>
  <si>
    <t>2024-03-15</t>
  </si>
  <si>
    <t>WO-2024-2503</t>
  </si>
  <si>
    <t>MT-0155</t>
  </si>
  <si>
    <t>2024-06-18</t>
  </si>
  <si>
    <t>WO-2024-2391</t>
  </si>
  <si>
    <t>MT-0156</t>
  </si>
  <si>
    <t>2024-09-18</t>
  </si>
  <si>
    <t>WO-2024-7947</t>
  </si>
  <si>
    <t>MT-0157</t>
  </si>
  <si>
    <t>2024-12-16</t>
  </si>
  <si>
    <t>WO-2024-2816</t>
  </si>
  <si>
    <t>MT-0158</t>
  </si>
  <si>
    <t>WO-2025-7475</t>
  </si>
  <si>
    <t>MT-0159</t>
  </si>
  <si>
    <t>2025-06-13</t>
  </si>
  <si>
    <t>WO-2025-2965</t>
  </si>
  <si>
    <t>MT-0160</t>
  </si>
  <si>
    <t>2025-09-14</t>
  </si>
  <si>
    <t>WO-2025-6802</t>
  </si>
  <si>
    <t>MT-0161</t>
  </si>
  <si>
    <t>2025-12-06</t>
  </si>
  <si>
    <t>WO-2025-6129</t>
  </si>
  <si>
    <t>MT-0162</t>
  </si>
  <si>
    <t>2026-03-11</t>
  </si>
  <si>
    <t>WO-2026-1341</t>
  </si>
  <si>
    <t>MT-0163</t>
  </si>
  <si>
    <t>WO-2026-2734</t>
  </si>
  <si>
    <t>MT-0164</t>
  </si>
  <si>
    <t>WO-2026-6083</t>
  </si>
  <si>
    <t>MT-0165</t>
  </si>
  <si>
    <t>2023-10-05</t>
  </si>
  <si>
    <t>2023-10-10</t>
  </si>
  <si>
    <t>WO-2023-9355</t>
  </si>
  <si>
    <t>MT-0166</t>
  </si>
  <si>
    <t>2024-01-01</t>
  </si>
  <si>
    <t>WO-2024-3399</t>
  </si>
  <si>
    <t>MT-0167</t>
  </si>
  <si>
    <t>2024-07-01</t>
  </si>
  <si>
    <t>WO-2024-8601</t>
  </si>
  <si>
    <t>MT-0168</t>
  </si>
  <si>
    <t>2024-09-29</t>
  </si>
  <si>
    <t>WO-2024-8205</t>
  </si>
  <si>
    <t>MT-0169</t>
  </si>
  <si>
    <t>2024-10-01</t>
  </si>
  <si>
    <t>WO-2024-9312</t>
  </si>
  <si>
    <t>MT-0170</t>
  </si>
  <si>
    <t>2024-12-26</t>
  </si>
  <si>
    <t>2025-03-28</t>
  </si>
  <si>
    <t>WO-2024-2479</t>
  </si>
  <si>
    <t>MT-0171</t>
  </si>
  <si>
    <t>2025-06-26</t>
  </si>
  <si>
    <t>2025-09-24</t>
  </si>
  <si>
    <t>WO-2025-6267</t>
  </si>
  <si>
    <t>MT-0172</t>
  </si>
  <si>
    <t>2025-09-29</t>
  </si>
  <si>
    <t>2025-12-23</t>
  </si>
  <si>
    <t>WO-2025-3827</t>
  </si>
  <si>
    <t>MT-0173</t>
  </si>
  <si>
    <t>2026-03-23</t>
  </si>
  <si>
    <t>2026-03-25</t>
  </si>
  <si>
    <t>WO-2026-5634</t>
  </si>
  <si>
    <t>MT-0174</t>
  </si>
  <si>
    <t>WO-2026-6401</t>
  </si>
  <si>
    <t>MT-0175</t>
  </si>
  <si>
    <t>2026-12-18</t>
  </si>
  <si>
    <t>WO-2026-3463</t>
  </si>
  <si>
    <t>MT-0176</t>
  </si>
  <si>
    <t>HP 15-fd0xxx</t>
  </si>
  <si>
    <t>2026-01-10</t>
  </si>
  <si>
    <t>2026-04-10</t>
  </si>
  <si>
    <t>WO-2026-3112</t>
  </si>
  <si>
    <t>MT-0177</t>
  </si>
  <si>
    <t>WO-2026-2531</t>
  </si>
  <si>
    <t>MT-0178</t>
  </si>
  <si>
    <t>WO-2026-8967</t>
  </si>
  <si>
    <t>MT-0179</t>
  </si>
  <si>
    <t>2027-01-05</t>
  </si>
  <si>
    <t>WO-2026-5846</t>
  </si>
  <si>
    <t>MT-0180</t>
  </si>
  <si>
    <t>HP EliteBook x360 830 G7</t>
  </si>
  <si>
    <t>2024-04-16</t>
  </si>
  <si>
    <t>2024-04-15</t>
  </si>
  <si>
    <t>2024-07-15</t>
  </si>
  <si>
    <t>WO-2024-7172</t>
  </si>
  <si>
    <t>MT-0181</t>
  </si>
  <si>
    <t>2024-07-12</t>
  </si>
  <si>
    <t>2024-10-13</t>
  </si>
  <si>
    <t>WO-2024-7731</t>
  </si>
  <si>
    <t>MT-0182</t>
  </si>
  <si>
    <t>2025-01-11</t>
  </si>
  <si>
    <t>2025-01-16</t>
  </si>
  <si>
    <t>2025-04-11</t>
  </si>
  <si>
    <t>WO-2025-4918</t>
  </si>
  <si>
    <t>MT-0183</t>
  </si>
  <si>
    <t>2025-04-15</t>
  </si>
  <si>
    <t>WO-2025-8564</t>
  </si>
  <si>
    <t>MT-0184</t>
  </si>
  <si>
    <t>2025-07-09</t>
  </si>
  <si>
    <t>2025-10-08</t>
  </si>
  <si>
    <t>WO-2025-5096</t>
  </si>
  <si>
    <t>MT-0185</t>
  </si>
  <si>
    <t>2025-10-09</t>
  </si>
  <si>
    <t>2026-01-06</t>
  </si>
  <si>
    <t>WO-2025-2374</t>
  </si>
  <si>
    <t>MT-0186</t>
  </si>
  <si>
    <t>2026-04-06</t>
  </si>
  <si>
    <t>WO-2026-8391</t>
  </si>
  <si>
    <t>MT-0187</t>
  </si>
  <si>
    <t>2026-07-05</t>
  </si>
  <si>
    <t>WO-2026-2337</t>
  </si>
  <si>
    <t>MT-0188</t>
  </si>
  <si>
    <t>2027-01-01</t>
  </si>
  <si>
    <t>WO-2026-3254</t>
  </si>
  <si>
    <t>MT-0189</t>
  </si>
  <si>
    <t>HP EliteBook x360 1030 G3</t>
  </si>
  <si>
    <t>2024-08-23</t>
  </si>
  <si>
    <t>2024-08-27</t>
  </si>
  <si>
    <t>WO-2024-1086</t>
  </si>
  <si>
    <t>Part showing wear — order replacement for next cycle</t>
  </si>
  <si>
    <t>MT-0190</t>
  </si>
  <si>
    <t>WO-2024-4893</t>
  </si>
  <si>
    <t>MT-0191</t>
  </si>
  <si>
    <t>2025-02-17</t>
  </si>
  <si>
    <t>2025-05-20</t>
  </si>
  <si>
    <t>WO-2025-9189</t>
  </si>
  <si>
    <t>MT-0192</t>
  </si>
  <si>
    <t>2025-08-18</t>
  </si>
  <si>
    <t>WO-2025-1025</t>
  </si>
  <si>
    <t>MT-0193</t>
  </si>
  <si>
    <t>2025-08-16</t>
  </si>
  <si>
    <t>2025-11-16</t>
  </si>
  <si>
    <t>WO-2025-9618</t>
  </si>
  <si>
    <t>MT-0194</t>
  </si>
  <si>
    <t>2025-11-17</t>
  </si>
  <si>
    <t>WO-2025-1266</t>
  </si>
  <si>
    <t>MT-0195</t>
  </si>
  <si>
    <t>2026-02-13</t>
  </si>
  <si>
    <t>WO-2026-1726</t>
  </si>
  <si>
    <t>MT-0196</t>
  </si>
  <si>
    <t>WO-2026-3209</t>
  </si>
  <si>
    <t>MT-0197</t>
  </si>
  <si>
    <t>2026-11-11</t>
  </si>
  <si>
    <t>WO-2026-1686</t>
  </si>
  <si>
    <t>MT-0198</t>
  </si>
  <si>
    <t>WO-2024-5687</t>
  </si>
  <si>
    <t>MT-0199</t>
  </si>
  <si>
    <t>2024-10-15</t>
  </si>
  <si>
    <t>2025-01-15</t>
  </si>
  <si>
    <t>WO-2024-7029</t>
  </si>
  <si>
    <t>MT-0200</t>
  </si>
  <si>
    <t>WO-2025-9129</t>
  </si>
  <si>
    <t>MT-0201</t>
  </si>
  <si>
    <t>2025-04-13</t>
  </si>
  <si>
    <t>2025-07-14</t>
  </si>
  <si>
    <t>WO-2025-8055</t>
  </si>
  <si>
    <t>MT-0202</t>
  </si>
  <si>
    <t>2025-07-15</t>
  </si>
  <si>
    <t>2025-10-12</t>
  </si>
  <si>
    <t>WO-2025-8305</t>
  </si>
  <si>
    <t>MT-0203</t>
  </si>
  <si>
    <t>2025-10-15</t>
  </si>
  <si>
    <t>WO-2025-5498</t>
  </si>
  <si>
    <t>MT-0204</t>
  </si>
  <si>
    <t>WO-2026-8179</t>
  </si>
  <si>
    <t>MT-0205</t>
  </si>
  <si>
    <t>2026-04-13</t>
  </si>
  <si>
    <t>WO-2026-1530</t>
  </si>
  <si>
    <t>MT-0206</t>
  </si>
  <si>
    <t>WO-2026-7012</t>
  </si>
  <si>
    <t>MT-0207</t>
  </si>
  <si>
    <t>WO-2026-1424</t>
  </si>
  <si>
    <t>MT-0208</t>
  </si>
  <si>
    <t>Asus TUF Gaming A17</t>
  </si>
  <si>
    <t>2023-08-11</t>
  </si>
  <si>
    <t>WO-2023-8311</t>
  </si>
  <si>
    <t>MT-0209</t>
  </si>
  <si>
    <t>2023-11-06</t>
  </si>
  <si>
    <t>WO-2023-3223</t>
  </si>
  <si>
    <t>MT-0210</t>
  </si>
  <si>
    <t>2024-02-08</t>
  </si>
  <si>
    <t>2024-05-06</t>
  </si>
  <si>
    <t>WO-2024-2063</t>
  </si>
  <si>
    <t>MT-0211</t>
  </si>
  <si>
    <t>2024-05-11</t>
  </si>
  <si>
    <t>WO-2024-4673</t>
  </si>
  <si>
    <t>MT-0212</t>
  </si>
  <si>
    <t>2024-08-06</t>
  </si>
  <si>
    <t>WO-2024-7044</t>
  </si>
  <si>
    <t>MT-0213</t>
  </si>
  <si>
    <t>2024-11-03</t>
  </si>
  <si>
    <t>WO-2024-7523</t>
  </si>
  <si>
    <t>MT-0214</t>
  </si>
  <si>
    <t>2025-02-02</t>
  </si>
  <si>
    <t>WO-2025-2215</t>
  </si>
  <si>
    <t>MT-0215</t>
  </si>
  <si>
    <t>2025-05-04</t>
  </si>
  <si>
    <t>WO-2025-9238</t>
  </si>
  <si>
    <t>MT-0216</t>
  </si>
  <si>
    <t>2025-08-01</t>
  </si>
  <si>
    <t>WO-2025-4694</t>
  </si>
  <si>
    <t>MT-0217</t>
  </si>
  <si>
    <t>WO-2025-5496</t>
  </si>
  <si>
    <t>MT-0218</t>
  </si>
  <si>
    <t>2026-01-25</t>
  </si>
  <si>
    <t>WO-2026-6531</t>
  </si>
  <si>
    <t>MT-0219</t>
  </si>
  <si>
    <t>WO-2026-1496</t>
  </si>
  <si>
    <t>MT-0220</t>
  </si>
  <si>
    <t>WO-2026-7653</t>
  </si>
  <si>
    <t>MT-0221</t>
  </si>
  <si>
    <t>WO-2026-8202</t>
  </si>
  <si>
    <t>MT-0222</t>
  </si>
  <si>
    <t>2025-06-05</t>
  </si>
  <si>
    <t>2025-06-07</t>
  </si>
  <si>
    <t>2025-09-03</t>
  </si>
  <si>
    <t>WO-2025-6658</t>
  </si>
  <si>
    <t>MT-0223</t>
  </si>
  <si>
    <t>2025-12-02</t>
  </si>
  <si>
    <t>WO-2025-8642</t>
  </si>
  <si>
    <t>MT-0224</t>
  </si>
  <si>
    <t>2025-12-05</t>
  </si>
  <si>
    <t>WO-2025-7850</t>
  </si>
  <si>
    <t>MT-0225</t>
  </si>
  <si>
    <t>2026-03-01</t>
  </si>
  <si>
    <t>2026-05-31</t>
  </si>
  <si>
    <t>WO-2026-9163</t>
  </si>
  <si>
    <t>MT-0226</t>
  </si>
  <si>
    <t>WO-2026-8491</t>
  </si>
  <si>
    <t>MT-0227</t>
  </si>
  <si>
    <t>2026-11-27</t>
  </si>
  <si>
    <t>WO-2026-5609</t>
  </si>
  <si>
    <t>MT-0228</t>
  </si>
  <si>
    <t>Lenovo GF75 Thin</t>
  </si>
  <si>
    <t>2022-06-04</t>
  </si>
  <si>
    <t>2022-06-09</t>
  </si>
  <si>
    <t>2022-09-02</t>
  </si>
  <si>
    <t>WO-2022-1133</t>
  </si>
  <si>
    <t>MT-0229</t>
  </si>
  <si>
    <t>2022-08-30</t>
  </si>
  <si>
    <t>2022-12-01</t>
  </si>
  <si>
    <t>WO-2022-7563</t>
  </si>
  <si>
    <t>MT-0230</t>
  </si>
  <si>
    <t>2022-12-04</t>
  </si>
  <si>
    <t>2023-03-01</t>
  </si>
  <si>
    <t>WO-2022-9261</t>
  </si>
  <si>
    <t>MT-0231</t>
  </si>
  <si>
    <t>2023-02-27</t>
  </si>
  <si>
    <t>2023-05-30</t>
  </si>
  <si>
    <t>WO-2023-7453</t>
  </si>
  <si>
    <t>MT-0232</t>
  </si>
  <si>
    <t>WO-2023-9341</t>
  </si>
  <si>
    <t>MT-0233</t>
  </si>
  <si>
    <t>2023-09-02</t>
  </si>
  <si>
    <t>2023-11-26</t>
  </si>
  <si>
    <t>WO-2023-8487</t>
  </si>
  <si>
    <t>MT-0234</t>
  </si>
  <si>
    <t>2023-11-29</t>
  </si>
  <si>
    <t>2024-02-24</t>
  </si>
  <si>
    <t>WO-2023-5902</t>
  </si>
  <si>
    <t>MT-0235</t>
  </si>
  <si>
    <t>2024-02-21</t>
  </si>
  <si>
    <t>2024-05-24</t>
  </si>
  <si>
    <t>WO-2024-7035</t>
  </si>
  <si>
    <t>MT-0236</t>
  </si>
  <si>
    <t>2024-05-25</t>
  </si>
  <si>
    <t>2024-08-22</t>
  </si>
  <si>
    <t>WO-2024-4728</t>
  </si>
  <si>
    <t>MT-0237</t>
  </si>
  <si>
    <t>2024-11-20</t>
  </si>
  <si>
    <t>WO-2024-1517</t>
  </si>
  <si>
    <t>MT-0238</t>
  </si>
  <si>
    <t>WO-2024-7723</t>
  </si>
  <si>
    <t>MT-0239</t>
  </si>
  <si>
    <t>WO-2025-6325</t>
  </si>
  <si>
    <t>MT-0240</t>
  </si>
  <si>
    <t>2025-08-17</t>
  </si>
  <si>
    <t>2025-11-15</t>
  </si>
  <si>
    <t>WO-2025-8932</t>
  </si>
  <si>
    <t>MT-0241</t>
  </si>
  <si>
    <t>WO-2025-4396</t>
  </si>
  <si>
    <t>MT-0242</t>
  </si>
  <si>
    <t>WO-2026-9899</t>
  </si>
  <si>
    <t>MT-0243</t>
  </si>
  <si>
    <t>WO-2026-5712</t>
  </si>
  <si>
    <t>MT-0244</t>
  </si>
  <si>
    <t>2026-11-10</t>
  </si>
  <si>
    <t>WO-2026-4310</t>
  </si>
  <si>
    <t>MT-0245</t>
  </si>
  <si>
    <t>Dell Laptop 16GB 1TB</t>
  </si>
  <si>
    <t>2025-06-23</t>
  </si>
  <si>
    <t>2025-09-21</t>
  </si>
  <si>
    <t>WO-2025-1831</t>
  </si>
  <si>
    <t>MT-0246</t>
  </si>
  <si>
    <t>2025-09-19</t>
  </si>
  <si>
    <t>2025-12-20</t>
  </si>
  <si>
    <t>WO-2025-3252</t>
  </si>
  <si>
    <t>MT-0247</t>
  </si>
  <si>
    <t>2026-03-20</t>
  </si>
  <si>
    <t>WO-2025-5706</t>
  </si>
  <si>
    <t>MT-0248</t>
  </si>
  <si>
    <t>2026-06-18</t>
  </si>
  <si>
    <t>WO-2026-7846</t>
  </si>
  <si>
    <t>MT-0249</t>
  </si>
  <si>
    <t>2026-12-15</t>
  </si>
  <si>
    <t>WO-2026-4052</t>
  </si>
  <si>
    <t>MT-0250</t>
  </si>
  <si>
    <t>Custom Build Workstation (CPU + Monitor + KB + UPS + Mouse)</t>
  </si>
  <si>
    <t>2025-01-09</t>
  </si>
  <si>
    <t>2025-04-09</t>
  </si>
  <si>
    <t>WO-2025-5662</t>
  </si>
  <si>
    <t>Internal cleaning completed. CPU temps within range. RAM tested OK.</t>
  </si>
  <si>
    <t>MT-0251</t>
  </si>
  <si>
    <t>2025-04-10</t>
  </si>
  <si>
    <t>WO-2025-4159</t>
  </si>
  <si>
    <t>Full system diagnostics passed. Dust cleaned from internals. Thermal OK.</t>
  </si>
  <si>
    <t>MT-0252</t>
  </si>
  <si>
    <t>2025-07-05</t>
  </si>
  <si>
    <t>2025-10-06</t>
  </si>
  <si>
    <t>WO-2025-6523</t>
  </si>
  <si>
    <t>Routine maintenance done. PSU voltages normal. No issues.</t>
  </si>
  <si>
    <t>MT-0253</t>
  </si>
  <si>
    <t>2026-01-04</t>
  </si>
  <si>
    <t>WO-2025-9442</t>
  </si>
  <si>
    <t>MT-0254</t>
  </si>
  <si>
    <t>2026-04-04</t>
  </si>
  <si>
    <t>2026-07-03</t>
  </si>
  <si>
    <t>WO-2026-7284</t>
  </si>
  <si>
    <t>Hardware check complete. All drives healthy. Backup verified.</t>
  </si>
  <si>
    <t>MT-0255</t>
  </si>
  <si>
    <t>2026-12-30</t>
  </si>
  <si>
    <t>WO-2026-5285</t>
  </si>
  <si>
    <t>MT-0256</t>
  </si>
  <si>
    <t>Dell Workstation (CPU + Monitor + KB + UPS + Mouse)</t>
  </si>
  <si>
    <t>2025-11-26</t>
  </si>
  <si>
    <t>2025-11-27</t>
  </si>
  <si>
    <t>2026-02-24</t>
  </si>
  <si>
    <t>WO-2025-3616</t>
  </si>
  <si>
    <t>MT-0257</t>
  </si>
  <si>
    <t>2026-02-25</t>
  </si>
  <si>
    <t>WO-2026-7021</t>
  </si>
  <si>
    <t>All peripherals tested. Monitor calibrated. UPS battery OK.</t>
  </si>
  <si>
    <t>MT-0258</t>
  </si>
  <si>
    <t>WO-2026-9998</t>
  </si>
  <si>
    <t>MT-0259</t>
  </si>
  <si>
    <t>2026-11-21</t>
  </si>
  <si>
    <t>WO-2026-2341</t>
  </si>
  <si>
    <t>MT-0260</t>
  </si>
  <si>
    <t>2025-02-20</t>
  </si>
  <si>
    <t>2025-05-24</t>
  </si>
  <si>
    <t>WO-2025-9972</t>
  </si>
  <si>
    <t>MT-0261</t>
  </si>
  <si>
    <t>2025-05-22</t>
  </si>
  <si>
    <t>WO-2025-4365</t>
  </si>
  <si>
    <t>System optimised. Startup programs cleaned. Windows updated.</t>
  </si>
  <si>
    <t>MT-0262</t>
  </si>
  <si>
    <t>2025-08-26</t>
  </si>
  <si>
    <t>2025-11-20</t>
  </si>
  <si>
    <t>WO-2025-3161</t>
  </si>
  <si>
    <t>MT-0263</t>
  </si>
  <si>
    <t>2026-02-18</t>
  </si>
  <si>
    <t>WO-2025-7487</t>
  </si>
  <si>
    <t>MT-0264</t>
  </si>
  <si>
    <t>WO-2026-6644</t>
  </si>
  <si>
    <t>MT-0265</t>
  </si>
  <si>
    <t>2026-11-15</t>
  </si>
  <si>
    <t>In Progress</t>
  </si>
  <si>
    <t>WO-2026-3948</t>
  </si>
  <si>
    <t>Technician on-site — work in progress</t>
  </si>
  <si>
    <t>MT-0266</t>
  </si>
  <si>
    <t>Lenovo Workstation (CPU + Monitor + KB + UPS + Mouse)</t>
  </si>
  <si>
    <t>2025-11-05</t>
  </si>
  <si>
    <t>2025-11-03</t>
  </si>
  <si>
    <t>2026-02-03</t>
  </si>
  <si>
    <t>WO-2025-9835</t>
  </si>
  <si>
    <t>MT-0267</t>
  </si>
  <si>
    <t>2026-02-08</t>
  </si>
  <si>
    <t>2026-05-04</t>
  </si>
  <si>
    <t>WO-2026-3086</t>
  </si>
  <si>
    <t>MT-0268</t>
  </si>
  <si>
    <t>2026-05-08</t>
  </si>
  <si>
    <t>WO-2026-9920</t>
  </si>
  <si>
    <t>MT-0269</t>
  </si>
  <si>
    <t>WO-2026-5516</t>
  </si>
  <si>
    <t>MT-0270</t>
  </si>
  <si>
    <t>WO-2026-7868</t>
  </si>
  <si>
    <t>MT-0271</t>
  </si>
  <si>
    <t>HP Workstation (CPU + Monitor + KB + UPS + Mouse)</t>
  </si>
  <si>
    <t>2025-04-04</t>
  </si>
  <si>
    <t>WO-2025-1797</t>
  </si>
  <si>
    <t>MT-0272</t>
  </si>
  <si>
    <t>WO-2025-3295</t>
  </si>
  <si>
    <t>MT-0273</t>
  </si>
  <si>
    <t>WO-2025-4881</t>
  </si>
  <si>
    <t>MT-0274</t>
  </si>
  <si>
    <t>WO-2025-1998</t>
  </si>
  <si>
    <t>MT-0275</t>
  </si>
  <si>
    <t>WO-2026-6642</t>
  </si>
  <si>
    <t>MT-0276</t>
  </si>
  <si>
    <t>WO-2026-7821</t>
  </si>
  <si>
    <t>MT-0277</t>
  </si>
  <si>
    <t>Dell PowerEdge T550</t>
  </si>
  <si>
    <t>2024-11-29</t>
  </si>
  <si>
    <t>WO-2024-5927</t>
  </si>
  <si>
    <t>Performance benchmark within SLA. SSL certificates valid.</t>
  </si>
  <si>
    <t>MT-0278</t>
  </si>
  <si>
    <t>2025-01-28</t>
  </si>
  <si>
    <t>2025-02-27</t>
  </si>
  <si>
    <t>WO-2025-4978</t>
  </si>
  <si>
    <t>All services running. Disk usage at 62%. Memory utilisation normal.</t>
  </si>
  <si>
    <t>MT-0279</t>
  </si>
  <si>
    <t>2025-02-25</t>
  </si>
  <si>
    <t>WO-2025-9775</t>
  </si>
  <si>
    <t>MT-0280</t>
  </si>
  <si>
    <t>2025-04-28</t>
  </si>
  <si>
    <t>Dell ProSupport</t>
  </si>
  <si>
    <t>WO-2025-4555</t>
  </si>
  <si>
    <t>Firmware updated. Event logs reviewed — no anomalies detected.</t>
  </si>
  <si>
    <t>MT-0281</t>
  </si>
  <si>
    <t>2025-05-28</t>
  </si>
  <si>
    <t>WO-2025-2922</t>
  </si>
  <si>
    <t>MT-0282</t>
  </si>
  <si>
    <t>2025-07-27</t>
  </si>
  <si>
    <t>HP Care Pack</t>
  </si>
  <si>
    <t>WO-2025-6269</t>
  </si>
  <si>
    <t>MT-0283</t>
  </si>
  <si>
    <t>2025-07-29</t>
  </si>
  <si>
    <t>WO-2025-9401</t>
  </si>
  <si>
    <t>MT-0284</t>
  </si>
  <si>
    <t>2025-10-25</t>
  </si>
  <si>
    <t>WO-2025-6126</t>
  </si>
  <si>
    <t>MT-0285</t>
  </si>
  <si>
    <t>2025-10-26</t>
  </si>
  <si>
    <t>2025-11-24</t>
  </si>
  <si>
    <t>WO-2025-3497</t>
  </si>
  <si>
    <t>Monthly patch applied. Security scan clean. Performance nominal.</t>
  </si>
  <si>
    <t>MT-0286</t>
  </si>
  <si>
    <t>2025-11-29</t>
  </si>
  <si>
    <t>WO-2025-6530</t>
  </si>
  <si>
    <t>MT-0287</t>
  </si>
  <si>
    <t>2026-01-23</t>
  </si>
  <si>
    <t>2026-01-22</t>
  </si>
  <si>
    <t>2026-02-22</t>
  </si>
  <si>
    <t>WO-2026-6770</t>
  </si>
  <si>
    <t>MT-0288</t>
  </si>
  <si>
    <t>2026-02-20</t>
  </si>
  <si>
    <t>WO-2026-1794</t>
  </si>
  <si>
    <t>RAID array healthy — all disks online. Backup verified successfully.</t>
  </si>
  <si>
    <t>MT-0289</t>
  </si>
  <si>
    <t>2026-03-21</t>
  </si>
  <si>
    <t>2026-04-23</t>
  </si>
  <si>
    <t>WO-2026-4583</t>
  </si>
  <si>
    <t>Backup integrity verified. Failover test successful. UPS runtime 45 min.</t>
  </si>
  <si>
    <t>MT-0290</t>
  </si>
  <si>
    <t>2026-04-20</t>
  </si>
  <si>
    <t>2026-05-23</t>
  </si>
  <si>
    <t>WO-2026-1108</t>
  </si>
  <si>
    <t>MT-0291</t>
  </si>
  <si>
    <t>WO-2026-9228</t>
  </si>
  <si>
    <t>MT-0292</t>
  </si>
  <si>
    <t>WO-2026-4144</t>
  </si>
  <si>
    <t>MT-0293</t>
  </si>
  <si>
    <t>WO-2026-7112</t>
  </si>
  <si>
    <t>Hardware inspection underway</t>
  </si>
  <si>
    <t>MT-0294</t>
  </si>
  <si>
    <t>HP ProLiant ML350 Gen10</t>
  </si>
  <si>
    <t>2023-06-21</t>
  </si>
  <si>
    <t>2023-07-21</t>
  </si>
  <si>
    <t>WO-2023-7640</t>
  </si>
  <si>
    <t>MT-0295</t>
  </si>
  <si>
    <t>2023-07-19</t>
  </si>
  <si>
    <t>2023-08-20</t>
  </si>
  <si>
    <t>WO-2023-9189</t>
  </si>
  <si>
    <t>MT-0296</t>
  </si>
  <si>
    <t>2023-09-19</t>
  </si>
  <si>
    <t>WO-2023-4463</t>
  </si>
  <si>
    <t>MT-0297</t>
  </si>
  <si>
    <t>2023-09-24</t>
  </si>
  <si>
    <t>2023-10-19</t>
  </si>
  <si>
    <t>WO-2023-1539</t>
  </si>
  <si>
    <t>MT-0298</t>
  </si>
  <si>
    <t>2023-11-18</t>
  </si>
  <si>
    <t>WO-2023-2260</t>
  </si>
  <si>
    <t>MT-0299</t>
  </si>
  <si>
    <t>2023-11-21</t>
  </si>
  <si>
    <t>WO-2023-3292</t>
  </si>
  <si>
    <t>MT-0300</t>
  </si>
  <si>
    <t>2023-12-16</t>
  </si>
  <si>
    <t>2024-01-17</t>
  </si>
  <si>
    <t>WO-2023-8161</t>
  </si>
  <si>
    <t>MT-0301</t>
  </si>
  <si>
    <t>2024-01-14</t>
  </si>
  <si>
    <t>2024-02-16</t>
  </si>
  <si>
    <t>WO-2024-5478</t>
  </si>
  <si>
    <t>MT-0302</t>
  </si>
  <si>
    <t>2024-02-15</t>
  </si>
  <si>
    <t>2024-03-17</t>
  </si>
  <si>
    <t>WO-2024-7227</t>
  </si>
  <si>
    <t>MT-0303</t>
  </si>
  <si>
    <t>WO-2024-3526</t>
  </si>
  <si>
    <t>MT-0304</t>
  </si>
  <si>
    <t>2024-04-18</t>
  </si>
  <si>
    <t>2024-05-16</t>
  </si>
  <si>
    <t>WO-2024-2745</t>
  </si>
  <si>
    <t>MT-0305</t>
  </si>
  <si>
    <t>2024-05-15</t>
  </si>
  <si>
    <t>2024-06-15</t>
  </si>
  <si>
    <t>WO-2024-2430</t>
  </si>
  <si>
    <t>MT-0306</t>
  </si>
  <si>
    <t>2024-06-12</t>
  </si>
  <si>
    <t>WO-2024-2468</t>
  </si>
  <si>
    <t>MT-0307</t>
  </si>
  <si>
    <t>2024-08-14</t>
  </si>
  <si>
    <t>WO-2024-5781</t>
  </si>
  <si>
    <t>MT-0308</t>
  </si>
  <si>
    <t>2024-08-17</t>
  </si>
  <si>
    <t>2024-09-13</t>
  </si>
  <si>
    <t>WO-2024-3777</t>
  </si>
  <si>
    <t>MT-0309</t>
  </si>
  <si>
    <t>2024-09-16</t>
  </si>
  <si>
    <t>WO-2024-5521</t>
  </si>
  <si>
    <t>MT-0310</t>
  </si>
  <si>
    <t>WO-2024-4203</t>
  </si>
  <si>
    <t>MT-0311</t>
  </si>
  <si>
    <t>WO-2024-6484</t>
  </si>
  <si>
    <t>MT-0312</t>
  </si>
  <si>
    <t>2025-02-10</t>
  </si>
  <si>
    <t>WO-2025-4290</t>
  </si>
  <si>
    <t>MT-0313</t>
  </si>
  <si>
    <t>2025-03-12</t>
  </si>
  <si>
    <t>2025-03-14</t>
  </si>
  <si>
    <t>WO-2025-7161</t>
  </si>
  <si>
    <t>MT-0314</t>
  </si>
  <si>
    <t>2025-04-16</t>
  </si>
  <si>
    <t>2025-05-11</t>
  </si>
  <si>
    <t>WO-2025-1440</t>
  </si>
  <si>
    <t>MT-0315</t>
  </si>
  <si>
    <t>2025-05-14</t>
  </si>
  <si>
    <t>2025-06-10</t>
  </si>
  <si>
    <t>WO-2025-9180</t>
  </si>
  <si>
    <t>MT-0316</t>
  </si>
  <si>
    <t>WO-2025-2211</t>
  </si>
  <si>
    <t>MT-0317</t>
  </si>
  <si>
    <t>2025-07-12</t>
  </si>
  <si>
    <t>2025-08-09</t>
  </si>
  <si>
    <t>WO-2025-9796</t>
  </si>
  <si>
    <t>MT-0318</t>
  </si>
  <si>
    <t>2025-08-08</t>
  </si>
  <si>
    <t>WO-2025-1725</t>
  </si>
  <si>
    <t>MT-0319</t>
  </si>
  <si>
    <t>2025-09-06</t>
  </si>
  <si>
    <t>WO-2025-1172</t>
  </si>
  <si>
    <t>MT-0320</t>
  </si>
  <si>
    <t>2025-10-10</t>
  </si>
  <si>
    <t>2025-11-07</t>
  </si>
  <si>
    <t>WO-2025-7408</t>
  </si>
  <si>
    <t>MT-0321</t>
  </si>
  <si>
    <t>2025-11-04</t>
  </si>
  <si>
    <t>2025-12-07</t>
  </si>
  <si>
    <t>WO-2025-8909</t>
  </si>
  <si>
    <t>MT-0322</t>
  </si>
  <si>
    <t>WO-2025-6620</t>
  </si>
  <si>
    <t>MT-0323</t>
  </si>
  <si>
    <t>2026-02-05</t>
  </si>
  <si>
    <t>WO-2026-8412</t>
  </si>
  <si>
    <t>MT-0324</t>
  </si>
  <si>
    <t>2026-03-07</t>
  </si>
  <si>
    <t>WO-2026-3692</t>
  </si>
  <si>
    <t>MT-0325</t>
  </si>
  <si>
    <t>WO-2026-4798</t>
  </si>
  <si>
    <t>MT-0326</t>
  </si>
  <si>
    <t>2026-04-03</t>
  </si>
  <si>
    <t>2026-05-06</t>
  </si>
  <si>
    <t>WO-2026-4232</t>
  </si>
  <si>
    <t>MT-0327</t>
  </si>
  <si>
    <t>2026-05-07</t>
  </si>
  <si>
    <t>WO-2026-2025</t>
  </si>
  <si>
    <t>MT-0328</t>
  </si>
  <si>
    <t>WO-2026-5298</t>
  </si>
  <si>
    <t>MT-0329</t>
  </si>
  <si>
    <t>2026-08-04</t>
  </si>
  <si>
    <t>WO-2026-6700</t>
  </si>
  <si>
    <t>MT-0330</t>
  </si>
  <si>
    <t>WO-2026-2388</t>
  </si>
  <si>
    <t>MT-0331</t>
  </si>
  <si>
    <t>HP LaserJet Pro MFP M479fdw</t>
  </si>
  <si>
    <t>2024-05-30</t>
  </si>
  <si>
    <t>2024-06-01</t>
  </si>
  <si>
    <t>WO-2024-3316</t>
  </si>
  <si>
    <t>Full service done. Colour calibration adjusted. Network test passed.</t>
  </si>
  <si>
    <t>MT-0332</t>
  </si>
  <si>
    <t>2024-09-01</t>
  </si>
  <si>
    <t>WO-2024-9804</t>
  </si>
  <si>
    <t>Firmware updated. Network connectivity confirmed. Drum at 70% life.</t>
  </si>
  <si>
    <t>MT-0333</t>
  </si>
  <si>
    <t>2024-11-30</t>
  </si>
  <si>
    <t>2025-02-24</t>
  </si>
  <si>
    <t>WO-2024-1878</t>
  </si>
  <si>
    <t>Routine service completed. Paper feed rollers cleaned. No jams.</t>
  </si>
  <si>
    <t>MT-0334</t>
  </si>
  <si>
    <t>2025-05-25</t>
  </si>
  <si>
    <t>WO-2025-9056</t>
  </si>
  <si>
    <t>MT-0335</t>
  </si>
  <si>
    <t>2025-08-23</t>
  </si>
  <si>
    <t>WO-2025-5785</t>
  </si>
  <si>
    <t>Print heads cleaned. Test page quality excellent. Toner at 45%.</t>
  </si>
  <si>
    <t>MT-0336</t>
  </si>
  <si>
    <t>2025-08-28</t>
  </si>
  <si>
    <t>2025-11-21</t>
  </si>
  <si>
    <t>WO-2025-9369</t>
  </si>
  <si>
    <t>MT-0337</t>
  </si>
  <si>
    <t>2025-11-25</t>
  </si>
  <si>
    <t>WO-2025-9951</t>
  </si>
  <si>
    <t>MT-0338</t>
  </si>
  <si>
    <t>WO-2026-1528</t>
  </si>
  <si>
    <t>MT-0339</t>
  </si>
  <si>
    <t>WO-2026-4438</t>
  </si>
  <si>
    <t>MT-0340</t>
  </si>
  <si>
    <t>2026-11-16</t>
  </si>
  <si>
    <t>WO-2026-4385</t>
  </si>
  <si>
    <t>MT-0341</t>
  </si>
  <si>
    <t>HP DesignJet T650 36"</t>
  </si>
  <si>
    <t>2023-03-22</t>
  </si>
  <si>
    <t>2023-03-27</t>
  </si>
  <si>
    <t>2023-06-20</t>
  </si>
  <si>
    <t>WO-2023-3758</t>
  </si>
  <si>
    <t>MT-0342</t>
  </si>
  <si>
    <t>2023-09-18</t>
  </si>
  <si>
    <t>WO-2023-7743</t>
  </si>
  <si>
    <t>MT-0343</t>
  </si>
  <si>
    <t>WO-2023-3396</t>
  </si>
  <si>
    <t>MT-0344</t>
  </si>
  <si>
    <t>2024-03-16</t>
  </si>
  <si>
    <t>WO-2023-5402</t>
  </si>
  <si>
    <t>MT-0345</t>
  </si>
  <si>
    <t>WO-2024-5558</t>
  </si>
  <si>
    <t>MT-0346</t>
  </si>
  <si>
    <t>WO-2024-6869</t>
  </si>
  <si>
    <t>MT-0347</t>
  </si>
  <si>
    <t>2024-12-11</t>
  </si>
  <si>
    <t>WO-2024-5399</t>
  </si>
  <si>
    <t>MT-0348</t>
  </si>
  <si>
    <t>2025-03-11</t>
  </si>
  <si>
    <t>WO-2024-1793</t>
  </si>
  <si>
    <t>MT-0349</t>
  </si>
  <si>
    <t>2025-03-15</t>
  </si>
  <si>
    <t>2025-06-09</t>
  </si>
  <si>
    <t>WO-2025-1011</t>
  </si>
  <si>
    <t>MT-0350</t>
  </si>
  <si>
    <t>2025-09-07</t>
  </si>
  <si>
    <t>WO-2025-2529</t>
  </si>
  <si>
    <t>MT-0351</t>
  </si>
  <si>
    <t>2025-12-03</t>
  </si>
  <si>
    <t>WO-2025-7493</t>
  </si>
  <si>
    <t>MT-0352</t>
  </si>
  <si>
    <t>2026-03-04</t>
  </si>
  <si>
    <t>2026-06-04</t>
  </si>
  <si>
    <t>WO-2026-1017</t>
  </si>
  <si>
    <t>MT-0353</t>
  </si>
  <si>
    <t>WO-2026-1132</t>
  </si>
  <si>
    <t>MT-0354</t>
  </si>
  <si>
    <t>2026-12-01</t>
  </si>
  <si>
    <t>WO-2026-8826</t>
  </si>
  <si>
    <t>MT-0355</t>
  </si>
  <si>
    <t>Epson SureColor T3475</t>
  </si>
  <si>
    <t>2024-12-24</t>
  </si>
  <si>
    <t>2025-03-24</t>
  </si>
  <si>
    <t>WO-2024-7022</t>
  </si>
  <si>
    <t>MT-0356</t>
  </si>
  <si>
    <t>2025-03-22</t>
  </si>
  <si>
    <t>2025-06-22</t>
  </si>
  <si>
    <t>WO-2025-9691</t>
  </si>
  <si>
    <t>MT-0357</t>
  </si>
  <si>
    <t>2025-06-21</t>
  </si>
  <si>
    <t>2025-09-20</t>
  </si>
  <si>
    <t>WO-2025-7745</t>
  </si>
  <si>
    <t>MT-0358</t>
  </si>
  <si>
    <t>2025-09-23</t>
  </si>
  <si>
    <t>2025-12-19</t>
  </si>
  <si>
    <t>WO-2025-6759</t>
  </si>
  <si>
    <t>MT-0359</t>
  </si>
  <si>
    <t>2026-03-19</t>
  </si>
  <si>
    <t>WO-2025-5668</t>
  </si>
  <si>
    <t>MT-0360</t>
  </si>
  <si>
    <t>WO-2026-5842</t>
  </si>
  <si>
    <t>MT-0361</t>
  </si>
  <si>
    <t>WO-2026-2847</t>
  </si>
  <si>
    <t>MT-0362</t>
  </si>
  <si>
    <t>Cisco ISR 4331</t>
  </si>
  <si>
    <t>2023-12-29</t>
  </si>
  <si>
    <t>2023-12-31</t>
  </si>
  <si>
    <t>WO-2023-6185</t>
  </si>
  <si>
    <t>Firmware updated to latest stable. Security audit passed. Throughput nominal.</t>
  </si>
  <si>
    <t>MT-0363</t>
  </si>
  <si>
    <t>2024-01-27</t>
  </si>
  <si>
    <t>2024-02-27</t>
  </si>
  <si>
    <t>WO-2024-8717</t>
  </si>
  <si>
    <t>MT-0364</t>
  </si>
  <si>
    <t>2024-03-01</t>
  </si>
  <si>
    <t>2024-03-28</t>
  </si>
  <si>
    <t>Cisco SMARTnet</t>
  </si>
  <si>
    <t>WO-2024-9300</t>
  </si>
  <si>
    <t>Configuration backed up. All interfaces up. No packet loss detected.</t>
  </si>
  <si>
    <t>MT-0365</t>
  </si>
  <si>
    <t>2024-03-31</t>
  </si>
  <si>
    <t>WO-2024-2350</t>
  </si>
  <si>
    <t>Security patches applied. ACLs reviewed. Bandwidth utilisation normal.</t>
  </si>
  <si>
    <t>MT-0366</t>
  </si>
  <si>
    <t>2024-05-27</t>
  </si>
  <si>
    <t>WO-2024-9377</t>
  </si>
  <si>
    <t>MT-0367</t>
  </si>
  <si>
    <t>2024-06-26</t>
  </si>
  <si>
    <t>WO-2024-6081</t>
  </si>
  <si>
    <t>MT-0368</t>
  </si>
  <si>
    <t>2024-06-29</t>
  </si>
  <si>
    <t>WO-2024-2900</t>
  </si>
  <si>
    <t>MT-0369</t>
  </si>
  <si>
    <t>2024-07-25</t>
  </si>
  <si>
    <t>WO-2024-2956</t>
  </si>
  <si>
    <t>MT-0370</t>
  </si>
  <si>
    <t>2024-08-30</t>
  </si>
  <si>
    <t>2024-09-24</t>
  </si>
  <si>
    <t>WO-2024-9474</t>
  </si>
  <si>
    <t>MT-0371</t>
  </si>
  <si>
    <t>2024-09-22</t>
  </si>
  <si>
    <t>WO-2024-1480</t>
  </si>
  <si>
    <t>MT-0372</t>
  </si>
  <si>
    <t>2024-11-23</t>
  </si>
  <si>
    <t>WO-2024-9128</t>
  </si>
  <si>
    <t>MT-0373</t>
  </si>
  <si>
    <t>2024-11-25</t>
  </si>
  <si>
    <t>2024-12-23</t>
  </si>
  <si>
    <t>WO-2024-3577</t>
  </si>
  <si>
    <t>MT-0374</t>
  </si>
  <si>
    <t>WO-2024-1042</t>
  </si>
  <si>
    <t>MT-0375</t>
  </si>
  <si>
    <t>2025-01-25</t>
  </si>
  <si>
    <t>WO-2025-3458</t>
  </si>
  <si>
    <t>MT-0376</t>
  </si>
  <si>
    <t>2025-03-23</t>
  </si>
  <si>
    <t>WO-2025-4678</t>
  </si>
  <si>
    <t>MT-0377</t>
  </si>
  <si>
    <t>2025-03-25</t>
  </si>
  <si>
    <t>WO-2025-2956</t>
  </si>
  <si>
    <t>MT-0378</t>
  </si>
  <si>
    <t>2025-04-25</t>
  </si>
  <si>
    <t>WO-2025-2129</t>
  </si>
  <si>
    <t>MT-0379</t>
  </si>
  <si>
    <t>2025-05-27</t>
  </si>
  <si>
    <t>WO-2025-8483</t>
  </si>
  <si>
    <t>MT-0380</t>
  </si>
  <si>
    <t>WO-2025-8600</t>
  </si>
  <si>
    <t>MT-0381</t>
  </si>
  <si>
    <t>2025-08-20</t>
  </si>
  <si>
    <t>WO-2025-3466</t>
  </si>
  <si>
    <t>MT-0382</t>
  </si>
  <si>
    <t>2025-09-16</t>
  </si>
  <si>
    <t>WO-2025-6488</t>
  </si>
  <si>
    <t>MT-0383</t>
  </si>
  <si>
    <t>2025-11-18</t>
  </si>
  <si>
    <t>WO-2025-4361</t>
  </si>
  <si>
    <t>MT-0384</t>
  </si>
  <si>
    <t>2025-12-18</t>
  </si>
  <si>
    <t>WO-2025-2524</t>
  </si>
  <si>
    <t>MT-0385</t>
  </si>
  <si>
    <t>2025-12-22</t>
  </si>
  <si>
    <t>WO-2025-2391</t>
  </si>
  <si>
    <t>MT-0386</t>
  </si>
  <si>
    <t>2026-01-14</t>
  </si>
  <si>
    <t>2026-02-16</t>
  </si>
  <si>
    <t>WO-2026-8126</t>
  </si>
  <si>
    <t>MT-0387</t>
  </si>
  <si>
    <t>2026-03-18</t>
  </si>
  <si>
    <t>WO-2026-6211</t>
  </si>
  <si>
    <t>MT-0388</t>
  </si>
  <si>
    <t>2026-04-16</t>
  </si>
  <si>
    <t>WO-2026-2731</t>
  </si>
  <si>
    <t>MT-0389</t>
  </si>
  <si>
    <t>2026-06-16</t>
  </si>
  <si>
    <t>WO-2026-8404</t>
  </si>
  <si>
    <t>MT-0390</t>
  </si>
  <si>
    <t>WO-2026-1660</t>
  </si>
  <si>
    <t>MT-0391</t>
  </si>
  <si>
    <t>WO-2026-7492</t>
  </si>
  <si>
    <t>MT-0392</t>
  </si>
  <si>
    <t>2026-09-14</t>
  </si>
  <si>
    <t>WO-2026-7625</t>
  </si>
  <si>
    <t>Asset was off-site during scheduled window</t>
  </si>
  <si>
    <t>Awaiting budget approval for external service provider</t>
  </si>
  <si>
    <t>MT-0393</t>
  </si>
  <si>
    <t>Cisco Catalyst 2960-X 48-Port</t>
  </si>
  <si>
    <t>2023-10-14</t>
  </si>
  <si>
    <t>2023-10-13</t>
  </si>
  <si>
    <t>2024-01-12</t>
  </si>
  <si>
    <t>WO-2023-2989</t>
  </si>
  <si>
    <t>All ports tested. Firmware current. No errors on trunk ports.</t>
  </si>
  <si>
    <t>MT-0394</t>
  </si>
  <si>
    <t>2024-04-11</t>
  </si>
  <si>
    <t>WO-2024-5240</t>
  </si>
  <si>
    <t>MT-0395</t>
  </si>
  <si>
    <t>2024-07-10</t>
  </si>
  <si>
    <t>2024-10-08</t>
  </si>
  <si>
    <t>WO-2024-3007</t>
  </si>
  <si>
    <t>MT-0396</t>
  </si>
  <si>
    <t>2024-10-11</t>
  </si>
  <si>
    <t>2025-01-06</t>
  </si>
  <si>
    <t>MT-0397</t>
  </si>
  <si>
    <t>2025-01-07</t>
  </si>
  <si>
    <t>2025-04-06</t>
  </si>
  <si>
    <t>WO-2025-5585</t>
  </si>
  <si>
    <t>Port scan complete. VLAN configuration verified. STP stable.</t>
  </si>
  <si>
    <t>MT-0398</t>
  </si>
  <si>
    <t>2025-04-07</t>
  </si>
  <si>
    <t>WO-2025-9173</t>
  </si>
  <si>
    <t>MT-0399</t>
  </si>
  <si>
    <t>2025-07-04</t>
  </si>
  <si>
    <t>2025-10-03</t>
  </si>
  <si>
    <t>WO-2025-7868</t>
  </si>
  <si>
    <t>MT-0400</t>
  </si>
  <si>
    <t>2025-09-30</t>
  </si>
  <si>
    <t>2026-01-01</t>
  </si>
  <si>
    <t>WO-2025-7266</t>
  </si>
  <si>
    <t>Routine check done. PoE budget at 65%. All link lights green.</t>
  </si>
  <si>
    <t>MT-0401</t>
  </si>
  <si>
    <t>2026-04-01</t>
  </si>
  <si>
    <t>WO-2026-6269</t>
  </si>
  <si>
    <t>MT-0402</t>
  </si>
  <si>
    <t>2026-04-02</t>
  </si>
  <si>
    <t>WO-2026-1959</t>
  </si>
  <si>
    <t>MT-0403</t>
  </si>
  <si>
    <t>WO-2026-5060</t>
  </si>
  <si>
    <t>MT-0404</t>
  </si>
  <si>
    <t>2026-12-27</t>
  </si>
  <si>
    <t>WO-2026-4594</t>
  </si>
  <si>
    <t>MT-0405</t>
  </si>
  <si>
    <t>TP-Link TL-SG1024DE 24-Port</t>
  </si>
  <si>
    <t>WO-2024-6210</t>
  </si>
  <si>
    <t>MT-0406</t>
  </si>
  <si>
    <t>WO-2025-4084</t>
  </si>
  <si>
    <t>MT-0407</t>
  </si>
  <si>
    <t>WO-2025-4584</t>
  </si>
  <si>
    <t>MT-0408</t>
  </si>
  <si>
    <t>WO-2025-6582</t>
  </si>
  <si>
    <t>MT-0409</t>
  </si>
  <si>
    <t>WO-2025-3420</t>
  </si>
  <si>
    <t>MT-0410</t>
  </si>
  <si>
    <t>2026-01-07</t>
  </si>
  <si>
    <t>WO-2026-7120</t>
  </si>
  <si>
    <t>MT-0411</t>
  </si>
  <si>
    <t>2026-04-11</t>
  </si>
  <si>
    <t>WO-2026-3235</t>
  </si>
  <si>
    <t>MT-0412</t>
  </si>
  <si>
    <t>WO-2026-3854</t>
  </si>
  <si>
    <t>MT-0413</t>
  </si>
  <si>
    <t>WO-2026-4657</t>
  </si>
  <si>
    <t>MT-0414</t>
  </si>
  <si>
    <t>Ubiquiti UniFi U6 Pro</t>
  </si>
  <si>
    <t>2024-10-21</t>
  </si>
  <si>
    <t>2024-10-20</t>
  </si>
  <si>
    <t>WO-2024-1029</t>
  </si>
  <si>
    <t>Firmware current. Client load balanced. Security settings verified.</t>
  </si>
  <si>
    <t>MT-0415</t>
  </si>
  <si>
    <t>2025-01-21</t>
  </si>
  <si>
    <t>2025-04-19</t>
  </si>
  <si>
    <t>WO-2025-4619</t>
  </si>
  <si>
    <t>MT-0416</t>
  </si>
  <si>
    <t>2025-04-21</t>
  </si>
  <si>
    <t>2025-07-18</t>
  </si>
  <si>
    <t>WO-2025-6234</t>
  </si>
  <si>
    <t>Signal coverage test passed. Firmware updated. Clients connected normally.</t>
  </si>
  <si>
    <t>MT-0417</t>
  </si>
  <si>
    <t>2025-10-16</t>
  </si>
  <si>
    <t>WO-2025-5345</t>
  </si>
  <si>
    <t>MT-0418</t>
  </si>
  <si>
    <t>2025-10-13</t>
  </si>
  <si>
    <t>WO-2025-1788</t>
  </si>
  <si>
    <t>Channel optimisation applied. Interference scan clean. Throughput normal.</t>
  </si>
  <si>
    <t>MT-0419</t>
  </si>
  <si>
    <t>WO-2026-9946</t>
  </si>
  <si>
    <t>MT-0420</t>
  </si>
  <si>
    <t>WO-2026-2207</t>
  </si>
  <si>
    <t>MT-0421</t>
  </si>
  <si>
    <t>2027-01-09</t>
  </si>
  <si>
    <t>WO-2026-2215</t>
  </si>
  <si>
    <t>MT-0422</t>
  </si>
  <si>
    <t>2025-05-03</t>
  </si>
  <si>
    <t>WO-2025-6536</t>
  </si>
  <si>
    <t>MT-0423</t>
  </si>
  <si>
    <t>WO-2025-8113</t>
  </si>
  <si>
    <t>MT-0424</t>
  </si>
  <si>
    <t>2025-10-30</t>
  </si>
  <si>
    <t>2025-10-31</t>
  </si>
  <si>
    <t>2026-01-28</t>
  </si>
  <si>
    <t>WO-2025-5872</t>
  </si>
  <si>
    <t>MT-0425</t>
  </si>
  <si>
    <t>2026-04-28</t>
  </si>
  <si>
    <t>WO-2026-6911</t>
  </si>
  <si>
    <t>MT-0426</t>
  </si>
  <si>
    <t>WO-2026-1421</t>
  </si>
  <si>
    <t>MT-0427</t>
  </si>
  <si>
    <t>2027-01-23</t>
  </si>
  <si>
    <t>WO-2026-6052</t>
  </si>
  <si>
    <t>MT-0428</t>
  </si>
  <si>
    <t>APC Smart-UPS 3000VA</t>
  </si>
  <si>
    <t>2024-02-01</t>
  </si>
  <si>
    <t>2024-03-02</t>
  </si>
  <si>
    <t>WO-2024-7349</t>
  </si>
  <si>
    <t>Monthly inspection complete. Battery voltage normal. Alarm test passed.</t>
  </si>
  <si>
    <t>MT-0429</t>
  </si>
  <si>
    <t>WO-2024-8204</t>
  </si>
  <si>
    <t>Full battery test: 95% capacity. Electrical connections tight. No alarms.</t>
  </si>
  <si>
    <t>MT-0430</t>
  </si>
  <si>
    <t>2024-03-30</t>
  </si>
  <si>
    <t>2024-05-01</t>
  </si>
  <si>
    <t>APC ServiceEdge</t>
  </si>
  <si>
    <t>WO-2024-2404</t>
  </si>
  <si>
    <t>Capacitor inspection OK. Transfer time within spec. Logs reviewed.</t>
  </si>
  <si>
    <t>MT-0431</t>
  </si>
  <si>
    <t>2024-06-03</t>
  </si>
  <si>
    <t>WO-2024-9561</t>
  </si>
  <si>
    <t>MT-0432</t>
  </si>
  <si>
    <t>2024-07-30</t>
  </si>
  <si>
    <t>WO-2024-5896</t>
  </si>
  <si>
    <t>Battery load test passed — 98% capacity. Runtime: 42 min at full load.</t>
  </si>
  <si>
    <t>MT-0433</t>
  </si>
  <si>
    <t>2024-07-28</t>
  </si>
  <si>
    <t>2024-08-29</t>
  </si>
  <si>
    <t>WO-2024-8357</t>
  </si>
  <si>
    <t>MT-0434</t>
  </si>
  <si>
    <t>2024-09-28</t>
  </si>
  <si>
    <t>2024-10-28</t>
  </si>
  <si>
    <t>WO-2024-2283</t>
  </si>
  <si>
    <t>MT-0435</t>
  </si>
  <si>
    <t>2024-10-30</t>
  </si>
  <si>
    <t>2024-11-27</t>
  </si>
  <si>
    <t>WO-2024-2097</t>
  </si>
  <si>
    <t>MT-0436</t>
  </si>
  <si>
    <t>2024-12-27</t>
  </si>
  <si>
    <t>MT-0437</t>
  </si>
  <si>
    <t>2024-12-25</t>
  </si>
  <si>
    <t>2025-01-26</t>
  </si>
  <si>
    <t>WO-2024-2654</t>
  </si>
  <si>
    <t>MT-0438</t>
  </si>
  <si>
    <t>2025-01-30</t>
  </si>
  <si>
    <t>WO-2025-8750</t>
  </si>
  <si>
    <t>MT-0439</t>
  </si>
  <si>
    <t>WO-2025-7484</t>
  </si>
  <si>
    <t>MT-0440</t>
  </si>
  <si>
    <t>2025-04-26</t>
  </si>
  <si>
    <t>WO-2025-6535</t>
  </si>
  <si>
    <t>MT-0441</t>
  </si>
  <si>
    <t>2025-05-26</t>
  </si>
  <si>
    <t>WO-2025-3201</t>
  </si>
  <si>
    <t>MT-0442</t>
  </si>
  <si>
    <t>2025-05-29</t>
  </si>
  <si>
    <t>WO-2025-2462</t>
  </si>
  <si>
    <t>MT-0443</t>
  </si>
  <si>
    <t>2025-07-25</t>
  </si>
  <si>
    <t>MT-0444</t>
  </si>
  <si>
    <t>2025-07-24</t>
  </si>
  <si>
    <t>2025-08-24</t>
  </si>
  <si>
    <t>WO-2025-4158</t>
  </si>
  <si>
    <t>MT-0445</t>
  </si>
  <si>
    <t>WO-2025-5488</t>
  </si>
  <si>
    <t>MT-0446</t>
  </si>
  <si>
    <t>2025-10-23</t>
  </si>
  <si>
    <t>WO-2025-7102</t>
  </si>
  <si>
    <t>MT-0447</t>
  </si>
  <si>
    <t>2025-11-22</t>
  </si>
  <si>
    <t>WO-2025-3679</t>
  </si>
  <si>
    <t>MT-0448</t>
  </si>
  <si>
    <t>2026-01-21</t>
  </si>
  <si>
    <t>WO-2025-3669</t>
  </si>
  <si>
    <t>MT-0449</t>
  </si>
  <si>
    <t>2026-01-24</t>
  </si>
  <si>
    <t>WO-2026-9409</t>
  </si>
  <si>
    <t>MT-0450</t>
  </si>
  <si>
    <t>WO-2026-1138</t>
  </si>
  <si>
    <t>MT-0451</t>
  </si>
  <si>
    <t>2026-04-21</t>
  </si>
  <si>
    <t>2026-04-24</t>
  </si>
  <si>
    <t>WO-2026-7168</t>
  </si>
  <si>
    <t>MT-0452</t>
  </si>
  <si>
    <t>WO-2026-1120</t>
  </si>
  <si>
    <t>MT-0453</t>
  </si>
  <si>
    <t>2026-07-20</t>
  </si>
  <si>
    <t>WO-2026-2045</t>
  </si>
  <si>
    <t>MT-0454</t>
  </si>
  <si>
    <t>WO-2026-4086</t>
  </si>
  <si>
    <t>MT-0455</t>
  </si>
  <si>
    <t>2026-09-18</t>
  </si>
  <si>
    <t>WO-2026-6236</t>
  </si>
  <si>
    <t>Past due date — asset operating without current service</t>
  </si>
  <si>
    <t>MT-0456</t>
  </si>
  <si>
    <t>APC Smart-UPS 1500VA</t>
  </si>
  <si>
    <t>2025-01-23</t>
  </si>
  <si>
    <t>WO-2024-1578</t>
  </si>
  <si>
    <t>MT-0457</t>
  </si>
  <si>
    <t>WO-2025-9311</t>
  </si>
  <si>
    <t>MT-0458</t>
  </si>
  <si>
    <t>WO-2025-2599</t>
  </si>
  <si>
    <t>MT-0459</t>
  </si>
  <si>
    <t>2025-03-26</t>
  </si>
  <si>
    <t>WO-2025-2463</t>
  </si>
  <si>
    <t>MT-0460</t>
  </si>
  <si>
    <t>WO-2025-5269</t>
  </si>
  <si>
    <t>MT-0461</t>
  </si>
  <si>
    <t>WO-2025-4187</t>
  </si>
  <si>
    <t>MT-0462</t>
  </si>
  <si>
    <t>2025-07-22</t>
  </si>
  <si>
    <t>WO-2025-3250</t>
  </si>
  <si>
    <t>MT-0463</t>
  </si>
  <si>
    <t>WO-2025-3954</t>
  </si>
  <si>
    <t>MT-0464</t>
  </si>
  <si>
    <t>WO-2025-5481</t>
  </si>
  <si>
    <t>MT-0465</t>
  </si>
  <si>
    <t>WO-2025-3120</t>
  </si>
  <si>
    <t>MT-0466</t>
  </si>
  <si>
    <t>WO-2025-1618</t>
  </si>
  <si>
    <t>MT-0467</t>
  </si>
  <si>
    <t>2025-12-16</t>
  </si>
  <si>
    <t>2026-01-18</t>
  </si>
  <si>
    <t>WO-2025-1067</t>
  </si>
  <si>
    <t>MT-0468</t>
  </si>
  <si>
    <t>WO-2026-6015</t>
  </si>
  <si>
    <t>MT-0469</t>
  </si>
  <si>
    <t>2026-04-18</t>
  </si>
  <si>
    <t>WO-2026-3192</t>
  </si>
  <si>
    <t>MT-0470</t>
  </si>
  <si>
    <t>WO-2026-1313</t>
  </si>
  <si>
    <t>MT-0471</t>
  </si>
  <si>
    <t>WO-2026-7006</t>
  </si>
  <si>
    <t>MT-0472</t>
  </si>
  <si>
    <t>2026-06-14</t>
  </si>
  <si>
    <t>WO-2026-2771</t>
  </si>
  <si>
    <t>MT-0473</t>
  </si>
  <si>
    <t>WO-2026-3508</t>
  </si>
  <si>
    <t>MT-0474</t>
  </si>
  <si>
    <t>WO-2026-5423</t>
  </si>
  <si>
    <t>MT-0475</t>
  </si>
  <si>
    <t>Dell UltraSharp U2723QE 27" 4K</t>
  </si>
  <si>
    <t>2025-08-31</t>
  </si>
  <si>
    <t>2025-08-29</t>
  </si>
  <si>
    <t>2026-02-27</t>
  </si>
  <si>
    <t>WO-2025-2741</t>
  </si>
  <si>
    <t>Cable inspection OK. Display uniformity good. Settings optimised.</t>
  </si>
  <si>
    <t>MT-0476</t>
  </si>
  <si>
    <t>WO-2026-5839</t>
  </si>
  <si>
    <t>Screen calibration completed. No dead pixels. Colour accuracy verified.</t>
  </si>
  <si>
    <t>MT-0477</t>
  </si>
  <si>
    <t>2027-02-22</t>
  </si>
  <si>
    <t>WO-2026-4842</t>
  </si>
  <si>
    <t>MT-0478</t>
  </si>
  <si>
    <t>LG 27MK600M 27" IPS</t>
  </si>
  <si>
    <t>2024-06-23</t>
  </si>
  <si>
    <t>2024-06-27</t>
  </si>
  <si>
    <t>2024-12-20</t>
  </si>
  <si>
    <t>WO-2024-3443</t>
  </si>
  <si>
    <t>MT-0479</t>
  </si>
  <si>
    <t>2025-06-18</t>
  </si>
  <si>
    <t>WO-2024-8483</t>
  </si>
  <si>
    <t>MT-0480</t>
  </si>
  <si>
    <t>2025-06-19</t>
  </si>
  <si>
    <t>2025-12-15</t>
  </si>
  <si>
    <t>WO-2025-6901</t>
  </si>
  <si>
    <t>MT-0481</t>
  </si>
  <si>
    <t>2026-06-13</t>
  </si>
  <si>
    <t>WO-2025-3793</t>
  </si>
  <si>
    <t>MT-0482</t>
  </si>
  <si>
    <t>WO-2026-2522</t>
  </si>
  <si>
    <t>MT-0483</t>
  </si>
  <si>
    <t>Synology DiskStation DS1522+</t>
  </si>
  <si>
    <t>WO-2024-5453</t>
  </si>
  <si>
    <t>Backup integrity verified. Disk space at 58%. Firmware updated.</t>
  </si>
  <si>
    <t>MT-0484</t>
  </si>
  <si>
    <t>WO-2024-3171</t>
  </si>
  <si>
    <t>Monthly health check: all volumes online. Replication current.</t>
  </si>
  <si>
    <t>MT-0485</t>
  </si>
  <si>
    <t>WO-2024-8178</t>
  </si>
  <si>
    <t>RAID healthy — all disks online. SMART status: PASS.</t>
  </si>
  <si>
    <t>MT-0486</t>
  </si>
  <si>
    <t>2024-12-22</t>
  </si>
  <si>
    <t>Synology Support NG</t>
  </si>
  <si>
    <t>WO-2024-8914</t>
  </si>
  <si>
    <t>MT-0487</t>
  </si>
  <si>
    <t>2025-01-24</t>
  </si>
  <si>
    <t>WO-2025-1202</t>
  </si>
  <si>
    <t>MT-0488</t>
  </si>
  <si>
    <t>WO-2025-6542</t>
  </si>
  <si>
    <t>MT-0489</t>
  </si>
  <si>
    <t>WO-2025-8895</t>
  </si>
  <si>
    <t>MT-0490</t>
  </si>
  <si>
    <t>WO-2025-1190</t>
  </si>
  <si>
    <t>MT-0491</t>
  </si>
  <si>
    <t>WO-2025-9055</t>
  </si>
  <si>
    <t>MT-0492</t>
  </si>
  <si>
    <t>2025-06-24</t>
  </si>
  <si>
    <t>WO-2025-7607</t>
  </si>
  <si>
    <t>MT-0493</t>
  </si>
  <si>
    <t>WO-2025-6178</t>
  </si>
  <si>
    <t>MT-0494</t>
  </si>
  <si>
    <t>WO-2025-1587</t>
  </si>
  <si>
    <t>MT-0495</t>
  </si>
  <si>
    <t>WO-2025-9328</t>
  </si>
  <si>
    <t>MT-0496</t>
  </si>
  <si>
    <t>WO-2025-4652</t>
  </si>
  <si>
    <t>MT-0497</t>
  </si>
  <si>
    <t>WO-2025-8414</t>
  </si>
  <si>
    <t>MT-0498</t>
  </si>
  <si>
    <t>WO-2025-9552</t>
  </si>
  <si>
    <t>MT-0499</t>
  </si>
  <si>
    <t>2026-01-20</t>
  </si>
  <si>
    <t>WO-2026-2752</t>
  </si>
  <si>
    <t>MT-0500</t>
  </si>
  <si>
    <t>WO-2026-4122</t>
  </si>
  <si>
    <t>MT-0501</t>
  </si>
  <si>
    <t>2026-03-16</t>
  </si>
  <si>
    <t>WO-2026-8381</t>
  </si>
  <si>
    <t>MT-0502</t>
  </si>
  <si>
    <t>WO-2026-1795</t>
  </si>
  <si>
    <t>MT-0503</t>
  </si>
  <si>
    <t>WO-2026-3103</t>
  </si>
  <si>
    <t>MT-0504</t>
  </si>
  <si>
    <t>WO-2026-7859</t>
  </si>
  <si>
    <t>MT-0505</t>
  </si>
  <si>
    <t>WO-2026-8419</t>
  </si>
  <si>
    <t>MT-0506</t>
  </si>
  <si>
    <t>WO-2026-5897</t>
  </si>
  <si>
    <t>Technician scheduling conflict — needs urgent attention</t>
  </si>
  <si>
    <t>MT-0507</t>
  </si>
  <si>
    <t>Epson EB-W52</t>
  </si>
  <si>
    <t>2023-10-09</t>
  </si>
  <si>
    <t>2024-01-07</t>
  </si>
  <si>
    <t>WO-2023-3173</t>
  </si>
  <si>
    <t>Lamp hours checked. Filter cleaned. Focus adjusted.</t>
  </si>
  <si>
    <t>MT-0508</t>
  </si>
  <si>
    <t>WO-2024-8870</t>
  </si>
  <si>
    <t>Connectivity test passed. Colour calibration OK. Fan noise normal.</t>
  </si>
  <si>
    <t>MT-0509</t>
  </si>
  <si>
    <t>2024-07-05</t>
  </si>
  <si>
    <t>WO-2024-2744</t>
  </si>
  <si>
    <t>MT-0510</t>
  </si>
  <si>
    <t>2024-10-03</t>
  </si>
  <si>
    <t>WO-2024-5695</t>
  </si>
  <si>
    <t>MT-0511</t>
  </si>
  <si>
    <t>2025-01-01</t>
  </si>
  <si>
    <t>WO-2024-1529</t>
  </si>
  <si>
    <t>MT-0512</t>
  </si>
  <si>
    <t>2025-04-01</t>
  </si>
  <si>
    <t>WO-2025-7371</t>
  </si>
  <si>
    <t>MT-0513</t>
  </si>
  <si>
    <t>2025-06-30</t>
  </si>
  <si>
    <t>WO-2025-7251</t>
  </si>
  <si>
    <t>MT-0514</t>
  </si>
  <si>
    <t>2025-09-28</t>
  </si>
  <si>
    <t>WO-2025-4327</t>
  </si>
  <si>
    <t>MT-0515</t>
  </si>
  <si>
    <t>WO-2025-4218</t>
  </si>
  <si>
    <t>MT-0516</t>
  </si>
  <si>
    <t>WO-2026-2955</t>
  </si>
  <si>
    <t>MT-0517</t>
  </si>
  <si>
    <t>2026-12-22</t>
  </si>
  <si>
    <t>WO-2026-3636</t>
  </si>
  <si>
    <t>MT-0518</t>
  </si>
  <si>
    <t>BenQ MH733</t>
  </si>
  <si>
    <t>2024-05-20</t>
  </si>
  <si>
    <t>2024-05-19</t>
  </si>
  <si>
    <t>WO-2024-6285</t>
  </si>
  <si>
    <t>MT-0519</t>
  </si>
  <si>
    <t>2024-11-16</t>
  </si>
  <si>
    <t>WO-2024-6866</t>
  </si>
  <si>
    <t>MT-0520</t>
  </si>
  <si>
    <t>2024-11-14</t>
  </si>
  <si>
    <t>2025-02-14</t>
  </si>
  <si>
    <t>WO-2024-9276</t>
  </si>
  <si>
    <t>MT-0521</t>
  </si>
  <si>
    <t>2025-05-15</t>
  </si>
  <si>
    <t>WO-2025-6437</t>
  </si>
  <si>
    <t>MT-0522</t>
  </si>
  <si>
    <t>2025-08-13</t>
  </si>
  <si>
    <t>2025-08-10</t>
  </si>
  <si>
    <t>2025-11-11</t>
  </si>
  <si>
    <t>WO-2025-2879</t>
  </si>
  <si>
    <t>MT-0523</t>
  </si>
  <si>
    <t>2026-02-09</t>
  </si>
  <si>
    <t>WO-2025-7248</t>
  </si>
  <si>
    <t>MT-0524</t>
  </si>
  <si>
    <t>2026-05-10</t>
  </si>
  <si>
    <t>WO-2026-9426</t>
  </si>
  <si>
    <t>MT-0525</t>
  </si>
  <si>
    <t>WO-2026-2349</t>
  </si>
  <si>
    <t>MT-0526</t>
  </si>
  <si>
    <t>2026-11-06</t>
  </si>
  <si>
    <t>WO-2026-2072</t>
  </si>
  <si>
    <t>MT-0527</t>
  </si>
  <si>
    <t>2027-02-04</t>
  </si>
  <si>
    <t>WO-2026-7950</t>
  </si>
  <si>
    <t>MT-0528</t>
  </si>
  <si>
    <t>Fujitsu ScanSnap iX1600</t>
  </si>
  <si>
    <t>2025-01-12</t>
  </si>
  <si>
    <t>2025-01-10</t>
  </si>
  <si>
    <t>WO-2025-3519</t>
  </si>
  <si>
    <t>Glass cleaned. Rollers inspected — no wear. Scan quality excellent.</t>
  </si>
  <si>
    <t>MT-0529</t>
  </si>
  <si>
    <t>2025-07-11</t>
  </si>
  <si>
    <t>WO-2025-5127</t>
  </si>
  <si>
    <t>MT-0530</t>
  </si>
  <si>
    <t>WO-2025-8094</t>
  </si>
  <si>
    <t>Driver updated. ADF tested with 50-page batch. No jams.</t>
  </si>
  <si>
    <t>MT-0531</t>
  </si>
  <si>
    <t>2026-04-07</t>
  </si>
  <si>
    <t>WO-2026-2189</t>
  </si>
  <si>
    <t>MT-0532</t>
  </si>
  <si>
    <t>WO-2026-5612</t>
  </si>
  <si>
    <t>MT-0533</t>
  </si>
  <si>
    <t>WO-2026-4602</t>
  </si>
  <si>
    <t>MT-0534</t>
  </si>
  <si>
    <t>2027-01-02</t>
  </si>
  <si>
    <t>WO-2026-3360</t>
  </si>
  <si>
    <t>MT-0535</t>
  </si>
  <si>
    <t>Grandstream GRP2614 IP Phone</t>
  </si>
  <si>
    <t>Call quality test passed. Firmware current. Configuration backed up.</t>
  </si>
  <si>
    <t>MT-0536</t>
  </si>
  <si>
    <t>WO-2024-6633</t>
  </si>
  <si>
    <t>MT-0537</t>
  </si>
  <si>
    <t>WO-2024-4617</t>
  </si>
  <si>
    <t>All features tested. Voicemail working. Network registration OK.</t>
  </si>
  <si>
    <t>MT-0538</t>
  </si>
  <si>
    <t>2025-03-30</t>
  </si>
  <si>
    <t>WO-2025-2198</t>
  </si>
  <si>
    <t>MT-0539</t>
  </si>
  <si>
    <t>2025-09-22</t>
  </si>
  <si>
    <t>WO-2025-3100</t>
  </si>
  <si>
    <t>MT-0540</t>
  </si>
  <si>
    <t>2025-12-21</t>
  </si>
  <si>
    <t>WO-2025-3496</t>
  </si>
  <si>
    <t>MT-0541</t>
  </si>
  <si>
    <t>WO-2026-8145</t>
  </si>
  <si>
    <t>MT-0542</t>
  </si>
  <si>
    <t>WO-2026-8296</t>
  </si>
  <si>
    <t>MT-0543</t>
  </si>
  <si>
    <t>2026-12-16</t>
  </si>
  <si>
    <t>WO-2026-2343</t>
  </si>
  <si>
    <t>MT-0544</t>
  </si>
  <si>
    <t>WO-2024-2235</t>
  </si>
  <si>
    <t>MT-0545</t>
  </si>
  <si>
    <t>WO-2025-1600</t>
  </si>
  <si>
    <t>MT-0546</t>
  </si>
  <si>
    <t>WO-2025-4658</t>
  </si>
  <si>
    <t>MT-0547</t>
  </si>
  <si>
    <t>WO-2025-1173</t>
  </si>
  <si>
    <t>MT-0548</t>
  </si>
  <si>
    <t>WO-2026-3935</t>
  </si>
  <si>
    <t>MT-0549</t>
  </si>
  <si>
    <t>2026-11-17</t>
  </si>
  <si>
    <t>WO-2026-5331</t>
  </si>
  <si>
    <t>MT-0550</t>
  </si>
  <si>
    <t>Seagate Expansion 4TB</t>
  </si>
  <si>
    <t>WO-2025-8448</t>
  </si>
  <si>
    <t>SMART status: PASS. No bad sectors. Data integrity verified.</t>
  </si>
  <si>
    <t>MT-0551</t>
  </si>
  <si>
    <t>WO-2026-9918</t>
  </si>
  <si>
    <t>MT-0552</t>
  </si>
  <si>
    <t>WO-2026-7165</t>
  </si>
  <si>
    <t>MT-0553</t>
  </si>
  <si>
    <t>WO-2026-8898</t>
  </si>
  <si>
    <t>MT-0554</t>
  </si>
  <si>
    <t>Fortinet FortiGate 60F</t>
  </si>
  <si>
    <t>Fortinet FortiCare</t>
  </si>
  <si>
    <t>WO-2024-3461</t>
  </si>
  <si>
    <t>Threat log review: 0 critical events. Firmware patched. SSL certs valid.</t>
  </si>
  <si>
    <t>MT-0555</t>
  </si>
  <si>
    <t>WO-2024-6410</t>
  </si>
  <si>
    <t>Rule audit completed — obsolete rules removed. IPS signatures updated.</t>
  </si>
  <si>
    <t>MT-0556</t>
  </si>
  <si>
    <t>2024-07-23</t>
  </si>
  <si>
    <t>WO-2024-1367</t>
  </si>
  <si>
    <t>MT-0557</t>
  </si>
  <si>
    <t>2024-07-22</t>
  </si>
  <si>
    <t>WO-2024-1916</t>
  </si>
  <si>
    <t>MT-0558</t>
  </si>
  <si>
    <t>2024-09-21</t>
  </si>
  <si>
    <t>MT-0559</t>
  </si>
  <si>
    <t>WO-2024-3338</t>
  </si>
  <si>
    <t>MT-0560</t>
  </si>
  <si>
    <t>WO-2024-2127</t>
  </si>
  <si>
    <t>MT-0561</t>
  </si>
  <si>
    <t>2024-11-19</t>
  </si>
  <si>
    <t>WO-2024-2577</t>
  </si>
  <si>
    <t>MT-0562</t>
  </si>
  <si>
    <t>2024-12-18</t>
  </si>
  <si>
    <t>WO-2024-8901</t>
  </si>
  <si>
    <t>MT-0563</t>
  </si>
  <si>
    <t>WO-2025-7892</t>
  </si>
  <si>
    <t>Penetration scan clean. Geo-blocking rules verified. Performance normal.</t>
  </si>
  <si>
    <t>MT-0564</t>
  </si>
  <si>
    <t>2025-03-20</t>
  </si>
  <si>
    <t>WO-2025-6742</t>
  </si>
  <si>
    <t>MT-0565</t>
  </si>
  <si>
    <t>2025-03-21</t>
  </si>
  <si>
    <t>WO-2025-9908</t>
  </si>
  <si>
    <t>Monthly security audit passed. All policies reviewed and current.</t>
  </si>
  <si>
    <t>MT-0566</t>
  </si>
  <si>
    <t>WO-2025-1117</t>
  </si>
  <si>
    <t>MT-0567</t>
  </si>
  <si>
    <t>WO-2025-3535</t>
  </si>
  <si>
    <t>MT-0568</t>
  </si>
  <si>
    <t>2025-06-20</t>
  </si>
  <si>
    <t>WO-2025-5514</t>
  </si>
  <si>
    <t>MT-0569</t>
  </si>
  <si>
    <t>WO-2025-7065</t>
  </si>
  <si>
    <t>MT-0570</t>
  </si>
  <si>
    <t>WO-2025-2951</t>
  </si>
  <si>
    <t>MT-0571</t>
  </si>
  <si>
    <t>WO-2025-1852</t>
  </si>
  <si>
    <t>MT-0572</t>
  </si>
  <si>
    <t>WO-2025-8133</t>
  </si>
  <si>
    <t>MT-0573</t>
  </si>
  <si>
    <t>WO-2025-9536</t>
  </si>
  <si>
    <t>MT-0574</t>
  </si>
  <si>
    <t>WO-2026-1175</t>
  </si>
  <si>
    <t>MT-0575</t>
  </si>
  <si>
    <t>2026-03-15</t>
  </si>
  <si>
    <t>WO-2026-9451</t>
  </si>
  <si>
    <t>MT-0576</t>
  </si>
  <si>
    <t>2026-03-14</t>
  </si>
  <si>
    <t>WO-2026-2422</t>
  </si>
  <si>
    <t>MT-0577</t>
  </si>
  <si>
    <t>WO-2026-1251</t>
  </si>
  <si>
    <t>MT-0578</t>
  </si>
  <si>
    <t>WO-2026-5530</t>
  </si>
  <si>
    <t>MT-0579</t>
  </si>
  <si>
    <t>WO-2026-3867</t>
  </si>
  <si>
    <t>MT-0580</t>
  </si>
  <si>
    <t>MT-0581</t>
  </si>
  <si>
    <t>2026-09-11</t>
  </si>
  <si>
    <t>WO-2026-7178</t>
  </si>
  <si>
    <t>Technician unavailable — rescheduling</t>
  </si>
  <si>
    <t>MT-0582</t>
  </si>
  <si>
    <t>Ubiquiti UniFi U6 Lite</t>
  </si>
  <si>
    <t>2025-06-01</t>
  </si>
  <si>
    <t>2025-08-30</t>
  </si>
  <si>
    <t>WO-2025-8896</t>
  </si>
  <si>
    <t>MT-0583</t>
  </si>
  <si>
    <t>2025-11-28</t>
  </si>
  <si>
    <t>WO-2025-6172</t>
  </si>
  <si>
    <t>MT-0584</t>
  </si>
  <si>
    <t>2026-02-26</t>
  </si>
  <si>
    <t>WO-2025-2523</t>
  </si>
  <si>
    <t>MT-0585</t>
  </si>
  <si>
    <t>2026-02-28</t>
  </si>
  <si>
    <t>WO-2026-6792</t>
  </si>
  <si>
    <t>MT-0586</t>
  </si>
  <si>
    <t>WO-2026-4847</t>
  </si>
  <si>
    <t>MT-0587</t>
  </si>
  <si>
    <t>2026-11-23</t>
  </si>
  <si>
    <t>WO-2026-4322</t>
  </si>
  <si>
    <t>MT-0588</t>
  </si>
  <si>
    <t>Mercury M3200 3200VA</t>
  </si>
  <si>
    <t>WO-2025-9071</t>
  </si>
  <si>
    <t>MT-0589</t>
  </si>
  <si>
    <t>WO-2025-5501</t>
  </si>
  <si>
    <t>MT-0590</t>
  </si>
  <si>
    <t>2025-07-20</t>
  </si>
  <si>
    <t>2025-08-19</t>
  </si>
  <si>
    <t>WO-2025-9613</t>
  </si>
  <si>
    <t>MT-0591</t>
  </si>
  <si>
    <t>2025-09-18</t>
  </si>
  <si>
    <t>WO-2025-8490</t>
  </si>
  <si>
    <t>MT-0592</t>
  </si>
  <si>
    <t>WO-2025-7216</t>
  </si>
  <si>
    <t>MT-0593</t>
  </si>
  <si>
    <t>WO-2025-5413</t>
  </si>
  <si>
    <t>MT-0594</t>
  </si>
  <si>
    <t>WO-2025-7866</t>
  </si>
  <si>
    <t>MT-0595</t>
  </si>
  <si>
    <t>2026-01-16</t>
  </si>
  <si>
    <t>WO-2025-2636</t>
  </si>
  <si>
    <t>MT-0596</t>
  </si>
  <si>
    <t>2026-02-15</t>
  </si>
  <si>
    <t>WO-2026-3450</t>
  </si>
  <si>
    <t>MT-0597</t>
  </si>
  <si>
    <t>2026-03-17</t>
  </si>
  <si>
    <t>WO-2026-5915</t>
  </si>
  <si>
    <t>MT-0598</t>
  </si>
  <si>
    <t>WO-2026-4530</t>
  </si>
  <si>
    <t>MT-0599</t>
  </si>
  <si>
    <t>WO-2026-6914</t>
  </si>
  <si>
    <t>MT-0600</t>
  </si>
  <si>
    <t>WO-2026-6752</t>
  </si>
  <si>
    <t>MT-0601</t>
  </si>
  <si>
    <t>WO-2026-6326</t>
  </si>
  <si>
    <t>MT-0602</t>
  </si>
  <si>
    <t>WO-2026-3373</t>
  </si>
  <si>
    <t>MT-0603</t>
  </si>
  <si>
    <t>2026-09-13</t>
  </si>
  <si>
    <t>WO-2026-2168</t>
  </si>
  <si>
    <t>Hardware diagnostics in progress</t>
  </si>
  <si>
    <t>Maintenance started — diagnostics running</t>
  </si>
  <si>
    <t>License ID</t>
  </si>
  <si>
    <t>Software / Product</t>
  </si>
  <si>
    <t>Vendor</t>
  </si>
  <si>
    <t>License Type</t>
  </si>
  <si>
    <t>License Key / Reference</t>
  </si>
  <si>
    <t>Licensed User / Department</t>
  </si>
  <si>
    <t>Assigned Asset ID</t>
  </si>
  <si>
    <t>Number of Seats</t>
  </si>
  <si>
    <t>Expiry Date</t>
  </si>
  <si>
    <t>Renewal Cost (NGN)</t>
  </si>
  <si>
    <t>Renewal Owner</t>
  </si>
  <si>
    <t>Last Review Date</t>
  </si>
  <si>
    <t>LIC-0001</t>
  </si>
  <si>
    <t>Microsoft</t>
  </si>
  <si>
    <t>Subscription</t>
  </si>
  <si>
    <t>LK-B9C6DF6E5DB3</t>
  </si>
  <si>
    <t>All Departments</t>
  </si>
  <si>
    <t>Finance Manager</t>
  </si>
  <si>
    <t>LIC-0002</t>
  </si>
  <si>
    <t>AutoCAD 2026</t>
  </si>
  <si>
    <t>Autodesk</t>
  </si>
  <si>
    <t>LK-915FC6DE5712</t>
  </si>
  <si>
    <t>2026-03-05</t>
  </si>
  <si>
    <t>2028-03-04</t>
  </si>
  <si>
    <t>IT Manager</t>
  </si>
  <si>
    <t>2026-07-24</t>
  </si>
  <si>
    <t>LIC-0003</t>
  </si>
  <si>
    <t>Revit 2026</t>
  </si>
  <si>
    <t>LK-41ED9BE47381</t>
  </si>
  <si>
    <t>2025-06-06</t>
  </si>
  <si>
    <t>LIC-0004</t>
  </si>
  <si>
    <t>SketchUp Pro</t>
  </si>
  <si>
    <t>Trimble</t>
  </si>
  <si>
    <t>LK-407B6BE49A33</t>
  </si>
  <si>
    <t>2025-11-08</t>
  </si>
  <si>
    <t>Admin Officer</t>
  </si>
  <si>
    <t>2026-06-27</t>
  </si>
  <si>
    <t>LIC-0005</t>
  </si>
  <si>
    <t>Lumion 2025</t>
  </si>
  <si>
    <t>Act-3D</t>
  </si>
  <si>
    <t>Perpetual + Maintenance</t>
  </si>
  <si>
    <t>LK-2318649F5123</t>
  </si>
  <si>
    <t>2027-05-02</t>
  </si>
  <si>
    <t>LIC-0006</t>
  </si>
  <si>
    <t>Adobe Creative Cloud</t>
  </si>
  <si>
    <t>Adobe</t>
  </si>
  <si>
    <t>LK-92199E0BBCA1</t>
  </si>
  <si>
    <t>2028-03-06</t>
  </si>
  <si>
    <t>LIC-0007</t>
  </si>
  <si>
    <t>Kaspersky</t>
  </si>
  <si>
    <t>LK-AE8908643261</t>
  </si>
  <si>
    <t>LIC-0008</t>
  </si>
  <si>
    <t>Sage 50 Accounting</t>
  </si>
  <si>
    <t>Sage</t>
  </si>
  <si>
    <t>Perpetual</t>
  </si>
  <si>
    <t>LK-A52644163ADE</t>
  </si>
  <si>
    <t>2027-04-07</t>
  </si>
  <si>
    <t>LIC-0009</t>
  </si>
  <si>
    <t>QuickBooks Enterprise</t>
  </si>
  <si>
    <t>Intuit</t>
  </si>
  <si>
    <t>LK-B5389B503163</t>
  </si>
  <si>
    <t>2028-03-15</t>
  </si>
  <si>
    <t>LIC-0010</t>
  </si>
  <si>
    <t>V-Ray for Revit</t>
  </si>
  <si>
    <t>Chaos Group</t>
  </si>
  <si>
    <t>LK-76C3FC0F3D0A</t>
  </si>
  <si>
    <t>LIC-0011</t>
  </si>
  <si>
    <t>Microsoft Windows Server 2022</t>
  </si>
  <si>
    <t>LK-46DDE0FDED2D</t>
  </si>
  <si>
    <t>2027-08-17</t>
  </si>
  <si>
    <t>LIC-0012</t>
  </si>
  <si>
    <t>VMware vSphere Essentials</t>
  </si>
  <si>
    <t>VMware</t>
  </si>
  <si>
    <t>LK-42FC548FADEE</t>
  </si>
  <si>
    <t>2026-04-25</t>
  </si>
  <si>
    <t>2027-04-25</t>
  </si>
  <si>
    <t>LIC-0013</t>
  </si>
  <si>
    <t>FortiOS License</t>
  </si>
  <si>
    <t>LK-702F03D122F6</t>
  </si>
  <si>
    <t>2025-10-04</t>
  </si>
  <si>
    <t>2026-06-12</t>
  </si>
  <si>
    <t>LIC-0014</t>
  </si>
  <si>
    <t>UniFi Network Controller</t>
  </si>
  <si>
    <t>Free</t>
  </si>
  <si>
    <t>LK-BD74D523F0AF</t>
  </si>
  <si>
    <t>2027-04-03</t>
  </si>
  <si>
    <t>LIC-0015</t>
  </si>
  <si>
    <t>Slack Business+</t>
  </si>
  <si>
    <t>Salesforce</t>
  </si>
  <si>
    <t>LK-AC454D785672</t>
  </si>
  <si>
    <t>2027-02-24</t>
  </si>
  <si>
    <t>LIC-0016</t>
  </si>
  <si>
    <t>Google Workspace Business</t>
  </si>
  <si>
    <t>Google</t>
  </si>
  <si>
    <t>LK-8FE52148A0DB</t>
  </si>
  <si>
    <t>2027-06-25</t>
  </si>
  <si>
    <t>LIC-0017</t>
  </si>
  <si>
    <t>DocuWare Document Management</t>
  </si>
  <si>
    <t>DocuWare</t>
  </si>
  <si>
    <t>LK-EFEDF94A5B3A</t>
  </si>
  <si>
    <t>2027-08-12</t>
  </si>
  <si>
    <t>LIC-0018</t>
  </si>
  <si>
    <t>Archicad 27</t>
  </si>
  <si>
    <t>Graphisoft</t>
  </si>
  <si>
    <t>LK-B6FF3D4EE3EA</t>
  </si>
  <si>
    <t>2027-07-05</t>
  </si>
  <si>
    <t>LIC-0019</t>
  </si>
  <si>
    <t>Enscape 3D</t>
  </si>
  <si>
    <t>Enscape</t>
  </si>
  <si>
    <t>LK-0190E5EC6C53</t>
  </si>
  <si>
    <t>2026-03-13</t>
  </si>
  <si>
    <t>2027-03-13</t>
  </si>
  <si>
    <t>LIC-0020</t>
  </si>
  <si>
    <t>3ds Max 2026</t>
  </si>
  <si>
    <t>LK-C742F86B7D86</t>
  </si>
  <si>
    <t>2028-01-14</t>
  </si>
  <si>
    <t>2026-06-10</t>
  </si>
  <si>
    <t>Verification ID</t>
  </si>
  <si>
    <t>Physical Condition</t>
  </si>
  <si>
    <t>Serial / Tag Verified</t>
  </si>
  <si>
    <t>User Assignment Verified</t>
  </si>
  <si>
    <t>Asset Found</t>
  </si>
  <si>
    <t>Verification Date</t>
  </si>
  <si>
    <t>Resolution Date</t>
  </si>
  <si>
    <t>VER-0001</t>
  </si>
  <si>
    <t>Verified OK</t>
  </si>
  <si>
    <t>VER-0002</t>
  </si>
  <si>
    <t>VER-0003</t>
  </si>
  <si>
    <t>VER-0004</t>
  </si>
  <si>
    <t>VER-0005</t>
  </si>
  <si>
    <t>VER-0006</t>
  </si>
  <si>
    <t>VER-0007</t>
  </si>
  <si>
    <t>VER-0008</t>
  </si>
  <si>
    <t>2026-07-02</t>
  </si>
  <si>
    <t>VER-0009</t>
  </si>
  <si>
    <t>VER-0010</t>
  </si>
  <si>
    <t>VER-0011</t>
  </si>
  <si>
    <t>VER-0012</t>
  </si>
  <si>
    <t>VER-0013</t>
  </si>
  <si>
    <t>VER-0014</t>
  </si>
  <si>
    <t>VER-0015</t>
  </si>
  <si>
    <t>VER-0016</t>
  </si>
  <si>
    <t>VER-0017</t>
  </si>
  <si>
    <t>VER-0018</t>
  </si>
  <si>
    <t>VER-0019</t>
  </si>
  <si>
    <t>VER-0020</t>
  </si>
  <si>
    <t>Serial number mismatch</t>
  </si>
  <si>
    <t>VER-0021</t>
  </si>
  <si>
    <t>VER-0022</t>
  </si>
  <si>
    <t>VER-0023</t>
  </si>
  <si>
    <t>2026-05-13</t>
  </si>
  <si>
    <t>VER-0024</t>
  </si>
  <si>
    <t>VER-0025</t>
  </si>
  <si>
    <t>VER-0026</t>
  </si>
  <si>
    <t>Minor physical damage noted</t>
  </si>
  <si>
    <t>VER-0027</t>
  </si>
  <si>
    <t>VER-0028</t>
  </si>
  <si>
    <t>VER-0029</t>
  </si>
  <si>
    <t>VER-0030</t>
  </si>
  <si>
    <t>Asset not located at assigned location</t>
  </si>
  <si>
    <t>VER-0031</t>
  </si>
  <si>
    <t>VER-0032</t>
  </si>
  <si>
    <t>2026-07-07</t>
  </si>
  <si>
    <t>VER-0033</t>
  </si>
  <si>
    <t>VER-0034</t>
  </si>
  <si>
    <t>VER-0035</t>
  </si>
  <si>
    <t>VER-0036</t>
  </si>
  <si>
    <t>VER-0037</t>
  </si>
  <si>
    <t>VER-0038</t>
  </si>
  <si>
    <t>VER-0039</t>
  </si>
  <si>
    <t>VER-0040</t>
  </si>
  <si>
    <t>VER-0041</t>
  </si>
  <si>
    <t>VER-0042</t>
  </si>
  <si>
    <t>VER-0043</t>
  </si>
  <si>
    <t>VER-0044</t>
  </si>
  <si>
    <t>VER-0045</t>
  </si>
  <si>
    <t>VER-0046</t>
  </si>
  <si>
    <t>VER-0047</t>
  </si>
  <si>
    <t>VER-0048</t>
  </si>
  <si>
    <t>VER-0049</t>
  </si>
  <si>
    <t>SEUN</t>
  </si>
  <si>
    <t>JUBRIL</t>
  </si>
  <si>
    <t>NO</t>
  </si>
  <si>
    <t>This workbook showsinventory into the comprehensive IT asset register. It captures asset identification, make/model, serial number, assigned user, department, location, condition, maintenance, warranty, licensing, update requirements and verification.</t>
  </si>
  <si>
    <t>MD Office</t>
  </si>
  <si>
    <t xml:space="preserve">Laptop WareHouse </t>
  </si>
  <si>
    <t>Windows 11</t>
  </si>
  <si>
    <t xml:space="preserve">Microsoft 365 Business Premium Revit 2024, Adobe  Sketch Up </t>
  </si>
  <si>
    <t xml:space="preserve">Speaker Needs Change </t>
  </si>
  <si>
    <t xml:space="preserve">Gboyega Tayo Ojo </t>
  </si>
  <si>
    <t>Office 3</t>
  </si>
  <si>
    <t>zoho mail</t>
  </si>
  <si>
    <t>zoho work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</si>
</sst>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₦#,##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Verdana Pro"/>
      <family val="2"/>
    </font>
    <font>
      <b/>
      <sz val="10"/>
      <color theme="1"/>
      <name val="Verdana Pro"/>
      <family val="2"/>
    </font>
    <font>
      <sz val="10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1F4E79"/>
      <name val="Calibri"/>
    </font>
    <font>
      <b/>
      <sz val="16"/>
      <color rgb="FF1F4E79"/>
      <name val="Calibri"/>
    </font>
    <font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1F4E79"/>
      <name val="Calibri"/>
    </font>
    <font>
      <b/>
      <sz val="12"/>
      <color rgb="FF2B6CB0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9"/>
        <bgColor rgb="FF1F4E79"/>
      </patternFill>
    </fill>
    <fill>
      <patternFill patternType="solid">
        <fgColor rgb="FFC6F6D5"/>
        <bgColor rgb="FFC6F6D5"/>
      </patternFill>
    </fill>
    <fill>
      <patternFill patternType="solid">
        <fgColor rgb="FFFEFCBF"/>
        <bgColor rgb="FFFEFCBF"/>
      </patternFill>
    </fill>
    <fill>
      <patternFill patternType="solid">
        <fgColor rgb="FFFED7D7"/>
        <bgColor rgb="FFFED7D7"/>
      </patternFill>
    </fill>
    <fill>
      <patternFill patternType="solid">
        <fgColor rgb="FFBEE3F8"/>
        <bgColor rgb="FFBEE3F8"/>
      </patternFill>
    </fill>
  </fills>
  <borders count="7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3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6" fillId="0" borderId="0" xfId="0" applyFont="1"/>
    <xf numFmtId="0" fontId="6" fillId="0" borderId="1" xfId="0" applyFont="1" applyBorder="1"/>
    <xf numFmtId="0" fontId="0" fillId="0" borderId="1" xfId="0" applyBorder="1" applyAlignment="1">
      <alignment vertical="top" wrapText="1"/>
    </xf>
    <xf numFmtId="0" fontId="6" fillId="3" borderId="1" xfId="0" applyFont="1" applyFill="1" applyBorder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8" fillId="3" borderId="1" xfId="0" applyFont="1" applyFill="1" applyBorder="1"/>
    <xf numFmtId="0" fontId="9" fillId="0" borderId="1" xfId="0" applyFont="1" applyBorder="1" applyAlignment="1">
      <alignment horizontal="center"/>
    </xf>
    <xf numFmtId="0" fontId="8" fillId="0" borderId="0" xfId="0" applyFont="1"/>
    <xf numFmtId="0" fontId="9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164" fontId="0" fillId="0" borderId="4" xfId="0" applyNumberFormat="1" applyBorder="1" applyAlignment="1">
      <alignment wrapText="1"/>
    </xf>
    <xf numFmtId="4" fontId="0" fillId="0" borderId="4" xfId="0" applyNumberFormat="1" applyBorder="1" applyAlignment="1">
      <alignment wrapText="1"/>
    </xf>
    <xf numFmtId="0" fontId="11" fillId="0" borderId="4" xfId="0" applyFont="1" applyBorder="1" applyAlignment="1">
      <alignment vertical="center" wrapText="1"/>
    </xf>
    <xf numFmtId="164" fontId="11" fillId="0" borderId="4" xfId="0" applyNumberFormat="1" applyFont="1" applyBorder="1" applyAlignment="1">
      <alignment vertical="center" wrapText="1"/>
    </xf>
    <xf numFmtId="4" fontId="11" fillId="0" borderId="4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top" wrapText="1"/>
    </xf>
    <xf numFmtId="164" fontId="11" fillId="0" borderId="1" xfId="0" applyNumberFormat="1" applyFont="1" applyBorder="1" applyAlignment="1">
      <alignment vertical="top" wrapText="1"/>
    </xf>
    <xf numFmtId="4" fontId="11" fillId="0" borderId="1" xfId="0" applyNumberFormat="1" applyFont="1" applyBorder="1" applyAlignment="1">
      <alignment vertical="top" wrapText="1"/>
    </xf>
    <xf numFmtId="0" fontId="6" fillId="5" borderId="4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10" fillId="0" borderId="0" xfId="0" applyFont="1"/>
    <xf numFmtId="0" fontId="16" fillId="0" borderId="0" xfId="0" applyFont="1"/>
    <xf numFmtId="0" fontId="13" fillId="4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49" fontId="14" fillId="0" borderId="6" xfId="0" applyNumberFormat="1" applyFont="1" applyBorder="1" applyAlignment="1">
      <alignment horizontal="left" vertical="center"/>
    </xf>
    <xf numFmtId="17" fontId="14" fillId="0" borderId="6" xfId="0" applyNumberFormat="1" applyFont="1" applyBorder="1" applyAlignment="1">
      <alignment horizontal="left" vertical="center"/>
    </xf>
    <xf numFmtId="11" fontId="14" fillId="0" borderId="6" xfId="0" applyNumberFormat="1" applyFont="1" applyBorder="1" applyAlignment="1">
      <alignment horizontal="left" vertical="center"/>
    </xf>
    <xf numFmtId="4" fontId="13" fillId="4" borderId="6" xfId="0" applyNumberFormat="1" applyFont="1" applyFill="1" applyBorder="1" applyAlignment="1">
      <alignment horizontal="center" vertical="center" wrapText="1"/>
    </xf>
    <xf numFmtId="165" fontId="14" fillId="0" borderId="6" xfId="0" applyNumberFormat="1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4" fontId="14" fillId="0" borderId="6" xfId="0" applyNumberFormat="1" applyFont="1" applyBorder="1" applyAlignment="1">
      <alignment horizontal="right" vertical="center"/>
    </xf>
    <xf numFmtId="0" fontId="0" fillId="0" borderId="0" xfId="0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5" fillId="2" borderId="0" xfId="0" applyFont="1" applyFill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0" fontId="11" fillId="0" borderId="5" xfId="0" applyFont="1" applyBorder="1"/>
    <xf numFmtId="165" fontId="14" fillId="0" borderId="6" xfId="0" applyNumberFormat="1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15" fillId="0" borderId="5" xfId="0" applyFont="1" applyBorder="1"/>
    <xf numFmtId="0" fontId="1" fillId="0" borderId="0" xfId="0" applyFont="1" applyAlignment="1">
      <alignment horizontal="right"/>
    </xf>
    <xf numFmtId="4" fontId="13" fillId="4" borderId="6" xfId="0" applyNumberFormat="1" applyFont="1" applyFill="1" applyBorder="1" applyAlignment="1">
      <alignment horizontal="right" vertical="center" wrapText="1"/>
    </xf>
    <xf numFmtId="0" fontId="13" fillId="4" borderId="6" xfId="0" applyFont="1" applyFill="1" applyBorder="1" applyAlignment="1">
      <alignment horizontal="right" vertical="center" wrapText="1"/>
    </xf>
    <xf numFmtId="0" fontId="17" fillId="0" borderId="6" xfId="0" applyFont="1" applyBorder="1" applyAlignment="1">
      <alignment horizontal="left" vertical="center"/>
    </xf>
    <xf numFmtId="4" fontId="17" fillId="0" borderId="6" xfId="0" applyNumberFormat="1" applyFont="1" applyBorder="1" applyAlignment="1">
      <alignment horizontal="right" vertical="center"/>
    </xf>
    <xf numFmtId="4" fontId="17" fillId="0" borderId="6" xfId="0" applyNumberFormat="1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0" fontId="2" fillId="0" borderId="0" xfId="0" applyFont="1"/>
    <xf numFmtId="0" fontId="18" fillId="0" borderId="6" xfId="0" applyFont="1" applyBorder="1" applyAlignment="1">
      <alignment horizontal="left" vertical="center"/>
    </xf>
    <xf numFmtId="0" fontId="19" fillId="0" borderId="4" xfId="0" applyFont="1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5840" cy="8915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05840" cy="89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8" workbookViewId="0">
      <selection activeCell="B34" sqref="B34"/>
    </sheetView>
  </sheetViews>
  <sheetFormatPr defaultRowHeight="14.4" x14ac:dyDescent="0.3"/>
  <cols>
    <col min="1" max="8" width="24" customWidth="1"/>
  </cols>
  <sheetData>
    <row r="1" spans="1:8" x14ac:dyDescent="0.3">
      <c r="A1" s="49" t="s">
        <v>0</v>
      </c>
      <c r="B1" s="45"/>
      <c r="C1" s="45"/>
      <c r="D1" s="45"/>
      <c r="E1" s="45"/>
      <c r="F1" s="45"/>
      <c r="G1" s="45"/>
      <c r="H1" s="45"/>
    </row>
    <row r="2" spans="1:8" x14ac:dyDescent="0.3">
      <c r="A2" s="45"/>
      <c r="B2" s="45"/>
      <c r="C2" s="45"/>
      <c r="D2" s="45"/>
      <c r="E2" s="45"/>
      <c r="F2" s="45"/>
      <c r="G2" s="45"/>
      <c r="H2" s="45"/>
    </row>
    <row r="4" spans="1:8" x14ac:dyDescent="0.3">
      <c r="A4" s="5" t="s">
        <v>1</v>
      </c>
    </row>
    <row r="5" spans="1:8" x14ac:dyDescent="0.3">
      <c r="A5" s="44" t="s">
        <v>3047</v>
      </c>
      <c r="B5" s="45"/>
      <c r="C5" s="45"/>
      <c r="D5" s="45"/>
      <c r="E5" s="45"/>
      <c r="F5" s="45"/>
      <c r="G5" s="45"/>
      <c r="H5" s="45"/>
    </row>
    <row r="6" spans="1:8" x14ac:dyDescent="0.3">
      <c r="A6" s="45"/>
      <c r="B6" s="45"/>
      <c r="C6" s="45"/>
      <c r="D6" s="45"/>
      <c r="E6" s="45"/>
      <c r="F6" s="45"/>
      <c r="G6" s="45"/>
      <c r="H6" s="45"/>
    </row>
    <row r="8" spans="1:8" x14ac:dyDescent="0.3">
      <c r="A8" s="5" t="s">
        <v>2</v>
      </c>
    </row>
    <row r="9" spans="1:8" x14ac:dyDescent="0.3">
      <c r="A9" s="44" t="s">
        <v>3</v>
      </c>
      <c r="B9" s="45"/>
      <c r="C9" s="45"/>
      <c r="D9" s="45"/>
      <c r="E9" s="45"/>
      <c r="F9" s="45"/>
      <c r="G9" s="45"/>
      <c r="H9" s="45"/>
    </row>
    <row r="10" spans="1:8" x14ac:dyDescent="0.3">
      <c r="A10" s="44" t="s">
        <v>4</v>
      </c>
      <c r="B10" s="45"/>
      <c r="C10" s="45"/>
      <c r="D10" s="45"/>
      <c r="E10" s="45"/>
      <c r="F10" s="45"/>
      <c r="G10" s="45"/>
      <c r="H10" s="45"/>
    </row>
    <row r="11" spans="1:8" x14ac:dyDescent="0.3">
      <c r="A11" s="44" t="s">
        <v>5</v>
      </c>
      <c r="B11" s="45"/>
      <c r="C11" s="45"/>
      <c r="D11" s="45"/>
      <c r="E11" s="45"/>
      <c r="F11" s="45"/>
      <c r="G11" s="45"/>
      <c r="H11" s="45"/>
    </row>
    <row r="12" spans="1:8" x14ac:dyDescent="0.3">
      <c r="A12" s="44" t="s">
        <v>6</v>
      </c>
      <c r="B12" s="45"/>
      <c r="C12" s="45"/>
      <c r="D12" s="45"/>
      <c r="E12" s="45"/>
      <c r="F12" s="45"/>
      <c r="G12" s="45"/>
      <c r="H12" s="45"/>
    </row>
    <row r="13" spans="1:8" x14ac:dyDescent="0.3">
      <c r="A13" s="44" t="s">
        <v>7</v>
      </c>
      <c r="B13" s="45"/>
      <c r="C13" s="45"/>
      <c r="D13" s="45"/>
      <c r="E13" s="45"/>
      <c r="F13" s="45"/>
      <c r="G13" s="45"/>
      <c r="H13" s="45"/>
    </row>
    <row r="14" spans="1:8" x14ac:dyDescent="0.3">
      <c r="A14" s="44" t="s">
        <v>8</v>
      </c>
      <c r="B14" s="45"/>
      <c r="C14" s="45"/>
      <c r="D14" s="45"/>
      <c r="E14" s="45"/>
      <c r="F14" s="45"/>
      <c r="G14" s="45"/>
      <c r="H14" s="45"/>
    </row>
    <row r="15" spans="1:8" x14ac:dyDescent="0.3">
      <c r="A15" s="44" t="s">
        <v>9</v>
      </c>
      <c r="B15" s="45"/>
      <c r="C15" s="45"/>
      <c r="D15" s="45"/>
      <c r="E15" s="45"/>
      <c r="F15" s="45"/>
      <c r="G15" s="45"/>
      <c r="H15" s="45"/>
    </row>
    <row r="16" spans="1:8" x14ac:dyDescent="0.3">
      <c r="A16" s="44" t="s">
        <v>10</v>
      </c>
      <c r="B16" s="45"/>
      <c r="C16" s="45"/>
      <c r="D16" s="45"/>
      <c r="E16" s="45"/>
      <c r="F16" s="45"/>
      <c r="G16" s="45"/>
      <c r="H16" s="45"/>
    </row>
    <row r="17" spans="1:8" x14ac:dyDescent="0.3">
      <c r="A17" s="44" t="s">
        <v>11</v>
      </c>
      <c r="B17" s="45"/>
      <c r="C17" s="45"/>
      <c r="D17" s="45"/>
      <c r="E17" s="45"/>
      <c r="F17" s="45"/>
      <c r="G17" s="45"/>
      <c r="H17" s="45"/>
    </row>
    <row r="20" spans="1:8" x14ac:dyDescent="0.3">
      <c r="A20" s="5" t="s">
        <v>12</v>
      </c>
    </row>
    <row r="21" spans="1:8" x14ac:dyDescent="0.3">
      <c r="A21" s="6" t="s">
        <v>13</v>
      </c>
      <c r="B21" s="46" t="s">
        <v>14</v>
      </c>
      <c r="C21" s="47"/>
      <c r="D21" s="47"/>
      <c r="E21" s="47"/>
      <c r="F21" s="47"/>
      <c r="G21" s="47"/>
      <c r="H21" s="48"/>
    </row>
    <row r="22" spans="1:8" x14ac:dyDescent="0.3">
      <c r="A22" s="6" t="s">
        <v>15</v>
      </c>
      <c r="B22" s="46" t="s">
        <v>16</v>
      </c>
      <c r="C22" s="47"/>
      <c r="D22" s="47"/>
      <c r="E22" s="47"/>
      <c r="F22" s="47"/>
      <c r="G22" s="47"/>
      <c r="H22" s="48"/>
    </row>
    <row r="23" spans="1:8" x14ac:dyDescent="0.3">
      <c r="A23" s="6" t="s">
        <v>17</v>
      </c>
      <c r="B23" s="46" t="s">
        <v>18</v>
      </c>
      <c r="C23" s="47"/>
      <c r="D23" s="47"/>
      <c r="E23" s="47"/>
      <c r="F23" s="47"/>
      <c r="G23" s="47"/>
      <c r="H23" s="48"/>
    </row>
    <row r="24" spans="1:8" x14ac:dyDescent="0.3">
      <c r="A24" s="6" t="s">
        <v>19</v>
      </c>
      <c r="B24" s="46" t="s">
        <v>20</v>
      </c>
      <c r="C24" s="47"/>
      <c r="D24" s="47"/>
      <c r="E24" s="47"/>
      <c r="F24" s="47"/>
      <c r="G24" s="47"/>
      <c r="H24" s="48"/>
    </row>
    <row r="25" spans="1:8" x14ac:dyDescent="0.3">
      <c r="A25" s="6" t="s">
        <v>21</v>
      </c>
      <c r="B25" s="46" t="s">
        <v>22</v>
      </c>
      <c r="C25" s="47"/>
      <c r="D25" s="47"/>
      <c r="E25" s="47"/>
      <c r="F25" s="47"/>
      <c r="G25" s="47"/>
      <c r="H25" s="48"/>
    </row>
    <row r="26" spans="1:8" x14ac:dyDescent="0.3">
      <c r="A26" s="6" t="s">
        <v>23</v>
      </c>
      <c r="B26" s="46" t="s">
        <v>24</v>
      </c>
      <c r="C26" s="47"/>
      <c r="D26" s="47"/>
      <c r="E26" s="47"/>
      <c r="F26" s="47"/>
      <c r="G26" s="47"/>
      <c r="H26" s="48"/>
    </row>
    <row r="29" spans="1:8" x14ac:dyDescent="0.3">
      <c r="A29" s="5" t="s">
        <v>25</v>
      </c>
    </row>
    <row r="30" spans="1:8" x14ac:dyDescent="0.3">
      <c r="A30" s="44" t="s">
        <v>26</v>
      </c>
      <c r="B30" s="45"/>
      <c r="C30" s="45"/>
      <c r="D30" s="45"/>
      <c r="E30" s="45"/>
      <c r="F30" s="45"/>
      <c r="G30" s="45"/>
      <c r="H30" s="45"/>
    </row>
    <row r="31" spans="1:8" x14ac:dyDescent="0.3">
      <c r="A31" s="45"/>
      <c r="B31" s="45"/>
      <c r="C31" s="45"/>
      <c r="D31" s="45"/>
      <c r="E31" s="45"/>
      <c r="F31" s="45"/>
      <c r="G31" s="45"/>
      <c r="H31" s="45"/>
    </row>
    <row r="32" spans="1:8" x14ac:dyDescent="0.3">
      <c r="A32" s="45"/>
      <c r="B32" s="45"/>
      <c r="C32" s="45"/>
      <c r="D32" s="45"/>
      <c r="E32" s="45"/>
      <c r="F32" s="45"/>
      <c r="G32" s="45"/>
      <c r="H32" s="45"/>
    </row>
  </sheetData>
  <mergeCells count="18">
    <mergeCell ref="A1:H2"/>
    <mergeCell ref="A5:H6"/>
    <mergeCell ref="A30:H32"/>
    <mergeCell ref="A17:H17"/>
    <mergeCell ref="A9:H9"/>
    <mergeCell ref="B22:H22"/>
    <mergeCell ref="A12:H12"/>
    <mergeCell ref="B26:H26"/>
    <mergeCell ref="A15:H15"/>
    <mergeCell ref="B23:H23"/>
    <mergeCell ref="B21:H21"/>
    <mergeCell ref="A16:H16"/>
    <mergeCell ref="A10:H10"/>
    <mergeCell ref="B24:H24"/>
    <mergeCell ref="A13:H13"/>
    <mergeCell ref="A11:H11"/>
    <mergeCell ref="A14:H14"/>
    <mergeCell ref="B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3" topLeftCell="A4" activePane="bottomLeft" state="frozen"/>
      <selection pane="bottomLeft" activeCell="A11" sqref="A11"/>
    </sheetView>
  </sheetViews>
  <sheetFormatPr defaultRowHeight="14.4" x14ac:dyDescent="0.3"/>
  <cols>
    <col min="1" max="1" width="32" customWidth="1"/>
    <col min="2" max="2" width="18" customWidth="1"/>
    <col min="3" max="3" width="36.33203125" bestFit="1" customWidth="1"/>
    <col min="4" max="4" width="38" customWidth="1"/>
    <col min="5" max="5" width="18" customWidth="1"/>
  </cols>
  <sheetData>
    <row r="1" spans="1:5" ht="21" x14ac:dyDescent="0.4">
      <c r="B1" s="33" t="s">
        <v>27</v>
      </c>
    </row>
    <row r="2" spans="1:5" ht="15.6" x14ac:dyDescent="0.3">
      <c r="C2" s="34" t="s">
        <v>28</v>
      </c>
    </row>
    <row r="4" spans="1:5" ht="18" x14ac:dyDescent="0.35">
      <c r="A4" s="14" t="s">
        <v>29</v>
      </c>
      <c r="B4" s="15">
        <v>49</v>
      </c>
      <c r="C4" s="16" t="s">
        <v>30</v>
      </c>
      <c r="D4" s="17">
        <v>20</v>
      </c>
      <c r="E4" s="9">
        <f ca="1">COUNTIFS('IT Asset Register'!T2:T301,"&gt;="&amp;TODAY(),'IT Asset Register'!T2:T301,"&lt;="&amp;TODAY()+30)</f>
        <v>0</v>
      </c>
    </row>
    <row r="5" spans="1:5" ht="18" x14ac:dyDescent="0.35">
      <c r="A5" s="14" t="s">
        <v>31</v>
      </c>
      <c r="B5" s="15">
        <v>49</v>
      </c>
      <c r="C5" s="16" t="s">
        <v>32</v>
      </c>
      <c r="D5" s="18">
        <v>3</v>
      </c>
    </row>
    <row r="6" spans="1:5" ht="18" x14ac:dyDescent="0.35">
      <c r="A6" s="14" t="s">
        <v>33</v>
      </c>
      <c r="B6" s="15">
        <v>0</v>
      </c>
      <c r="C6" s="16" t="s">
        <v>34</v>
      </c>
      <c r="D6" s="17">
        <v>20</v>
      </c>
      <c r="E6" s="9">
        <f ca="1">COUNTIFS('IT Asset Register'!R2:R301,"&gt;="&amp;TODAY(),'IT Asset Register'!R2:R301,"&lt;="&amp;TODAY()+30)</f>
        <v>0</v>
      </c>
    </row>
    <row r="7" spans="1:5" ht="18" x14ac:dyDescent="0.35">
      <c r="A7" s="14" t="s">
        <v>35</v>
      </c>
      <c r="B7" s="15">
        <v>0</v>
      </c>
    </row>
    <row r="8" spans="1:5" ht="18" x14ac:dyDescent="0.35">
      <c r="A8" s="14" t="s">
        <v>36</v>
      </c>
      <c r="B8" s="15">
        <v>0</v>
      </c>
      <c r="D8" s="8" t="s">
        <v>34</v>
      </c>
      <c r="E8" s="9">
        <f>COUNTA('Software &amp; Licences'!A2:A201)</f>
        <v>20</v>
      </c>
    </row>
    <row r="9" spans="1:5" ht="18" x14ac:dyDescent="0.35">
      <c r="A9" s="14" t="s">
        <v>37</v>
      </c>
      <c r="B9" s="15">
        <v>4</v>
      </c>
    </row>
    <row r="10" spans="1:5" ht="18" x14ac:dyDescent="0.35">
      <c r="A10" s="14" t="s">
        <v>38</v>
      </c>
      <c r="B10" s="15">
        <v>1</v>
      </c>
    </row>
    <row r="11" spans="1:5" ht="18" x14ac:dyDescent="0.35">
      <c r="A11" s="14" t="s">
        <v>39</v>
      </c>
      <c r="B11" s="15"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01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3" width="17" customWidth="1"/>
    <col min="4" max="4" width="15" customWidth="1"/>
    <col min="5" max="5" width="43" customWidth="1"/>
    <col min="6" max="6" width="39" customWidth="1"/>
    <col min="7" max="7" width="12" customWidth="1"/>
    <col min="8" max="8" width="22" customWidth="1"/>
    <col min="9" max="9" width="15" customWidth="1"/>
    <col min="10" max="10" width="18" customWidth="1"/>
    <col min="11" max="11" width="22" customWidth="1"/>
    <col min="12" max="12" width="10" customWidth="1"/>
    <col min="13" max="13" width="12" customWidth="1"/>
    <col min="14" max="14" width="16" customWidth="1"/>
    <col min="15" max="15" width="22" customWidth="1"/>
    <col min="16" max="16" width="28" customWidth="1"/>
    <col min="17" max="17" width="17" customWidth="1"/>
    <col min="18" max="18" width="18" customWidth="1"/>
    <col min="19" max="21" width="24" customWidth="1"/>
    <col min="22" max="22" width="43" customWidth="1"/>
    <col min="23" max="23" width="19" customWidth="1"/>
    <col min="24" max="24" width="21" customWidth="1"/>
    <col min="25" max="25" width="19" customWidth="1"/>
    <col min="26" max="26" width="18" customWidth="1"/>
    <col min="27" max="27" width="34" customWidth="1"/>
    <col min="28" max="28" width="19" customWidth="1"/>
    <col min="29" max="29" width="33" customWidth="1"/>
    <col min="30" max="31" width="17" customWidth="1"/>
    <col min="32" max="32" width="16" customWidth="1"/>
    <col min="33" max="33" width="20" customWidth="1"/>
    <col min="34" max="34" width="29" customWidth="1"/>
    <col min="35" max="35" width="18" customWidth="1"/>
    <col min="36" max="36" width="21" customWidth="1"/>
    <col min="37" max="37" width="23" customWidth="1"/>
    <col min="38" max="38" width="16" customWidth="1"/>
    <col min="39" max="39" width="29" customWidth="1"/>
  </cols>
  <sheetData>
    <row r="1" spans="1:39" ht="42" customHeight="1" x14ac:dyDescent="0.3">
      <c r="A1" s="19" t="s">
        <v>40</v>
      </c>
      <c r="B1" s="19" t="s">
        <v>41</v>
      </c>
      <c r="C1" s="19" t="s">
        <v>42</v>
      </c>
      <c r="D1" s="19" t="s">
        <v>43</v>
      </c>
      <c r="E1" s="19" t="s">
        <v>44</v>
      </c>
      <c r="F1" s="19" t="s">
        <v>45</v>
      </c>
      <c r="G1" s="19" t="s">
        <v>46</v>
      </c>
      <c r="H1" s="19" t="s">
        <v>47</v>
      </c>
      <c r="I1" s="19" t="s">
        <v>48</v>
      </c>
      <c r="J1" s="19" t="s">
        <v>49</v>
      </c>
      <c r="K1" s="19" t="s">
        <v>50</v>
      </c>
      <c r="L1" s="19" t="s">
        <v>51</v>
      </c>
      <c r="M1" s="19" t="s">
        <v>52</v>
      </c>
      <c r="N1" s="19" t="s">
        <v>53</v>
      </c>
      <c r="O1" s="19" t="s">
        <v>54</v>
      </c>
      <c r="P1" s="19" t="s">
        <v>55</v>
      </c>
      <c r="Q1" s="19" t="s">
        <v>56</v>
      </c>
      <c r="R1" s="19" t="s">
        <v>57</v>
      </c>
      <c r="S1" s="19" t="s">
        <v>58</v>
      </c>
      <c r="T1" s="19" t="s">
        <v>59</v>
      </c>
      <c r="U1" s="19" t="s">
        <v>60</v>
      </c>
      <c r="V1" s="19" t="s">
        <v>61</v>
      </c>
      <c r="W1" s="19" t="s">
        <v>62</v>
      </c>
      <c r="X1" s="19" t="s">
        <v>63</v>
      </c>
      <c r="Y1" s="19" t="s">
        <v>64</v>
      </c>
      <c r="Z1" s="19" t="s">
        <v>65</v>
      </c>
      <c r="AA1" s="19" t="s">
        <v>66</v>
      </c>
      <c r="AB1" s="19" t="s">
        <v>67</v>
      </c>
      <c r="AC1" s="19" t="s">
        <v>68</v>
      </c>
      <c r="AD1" s="19" t="s">
        <v>69</v>
      </c>
      <c r="AE1" s="19" t="s">
        <v>70</v>
      </c>
      <c r="AF1" s="19" t="s">
        <v>71</v>
      </c>
      <c r="AG1" s="19" t="s">
        <v>72</v>
      </c>
      <c r="AH1" s="19" t="s">
        <v>73</v>
      </c>
      <c r="AI1" s="19" t="s">
        <v>74</v>
      </c>
      <c r="AJ1" s="19" t="s">
        <v>75</v>
      </c>
      <c r="AK1" s="19" t="s">
        <v>76</v>
      </c>
      <c r="AL1" s="19" t="s">
        <v>77</v>
      </c>
      <c r="AM1" s="19" t="s">
        <v>78</v>
      </c>
    </row>
    <row r="2" spans="1:39" ht="28.8" x14ac:dyDescent="0.3">
      <c r="A2" s="23" t="s">
        <v>79</v>
      </c>
      <c r="B2" s="23" t="s">
        <v>80</v>
      </c>
      <c r="C2" s="23" t="s">
        <v>81</v>
      </c>
      <c r="D2" s="23" t="s">
        <v>82</v>
      </c>
      <c r="E2" s="23" t="s">
        <v>83</v>
      </c>
      <c r="F2" s="23" t="s">
        <v>84</v>
      </c>
      <c r="G2" s="23" t="s">
        <v>85</v>
      </c>
      <c r="H2" s="23" t="s">
        <v>86</v>
      </c>
      <c r="I2" s="23" t="s">
        <v>87</v>
      </c>
      <c r="J2" s="64" t="s">
        <v>3048</v>
      </c>
      <c r="K2" s="23" t="s">
        <v>86</v>
      </c>
      <c r="L2" s="23" t="s">
        <v>89</v>
      </c>
      <c r="M2" s="23" t="s">
        <v>136</v>
      </c>
      <c r="N2" s="24" t="s">
        <v>91</v>
      </c>
      <c r="O2" s="25">
        <v>800000</v>
      </c>
      <c r="P2" s="64" t="s">
        <v>3049</v>
      </c>
      <c r="Q2" s="24" t="s">
        <v>91</v>
      </c>
      <c r="R2" s="24" t="s">
        <v>93</v>
      </c>
      <c r="S2" s="24" t="s">
        <v>94</v>
      </c>
      <c r="T2" s="24" t="s">
        <v>95</v>
      </c>
      <c r="U2" s="23" t="s">
        <v>96</v>
      </c>
      <c r="V2" s="23" t="s">
        <v>97</v>
      </c>
      <c r="W2" s="64" t="s">
        <v>3050</v>
      </c>
      <c r="X2" s="23" t="s">
        <v>99</v>
      </c>
      <c r="Y2" s="24" t="s">
        <v>100</v>
      </c>
      <c r="Z2" s="23" t="s">
        <v>101</v>
      </c>
      <c r="AA2" s="23" t="s">
        <v>102</v>
      </c>
      <c r="AB2" s="24" t="s">
        <v>103</v>
      </c>
      <c r="AC2" s="64" t="s">
        <v>3051</v>
      </c>
      <c r="AD2" s="23" t="s">
        <v>105</v>
      </c>
      <c r="AE2" s="24" t="s">
        <v>106</v>
      </c>
      <c r="AF2" s="23" t="s">
        <v>107</v>
      </c>
      <c r="AG2" s="23" t="s">
        <v>108</v>
      </c>
      <c r="AH2" s="24"/>
      <c r="AI2" s="23"/>
      <c r="AJ2" s="24">
        <v>46236</v>
      </c>
      <c r="AK2" s="23" t="s">
        <v>110</v>
      </c>
      <c r="AL2" s="23" t="s">
        <v>111</v>
      </c>
      <c r="AM2" s="64" t="s">
        <v>3052</v>
      </c>
    </row>
    <row r="3" spans="1:39" ht="28.8" x14ac:dyDescent="0.3">
      <c r="A3" s="23" t="s">
        <v>112</v>
      </c>
      <c r="B3" s="23" t="s">
        <v>80</v>
      </c>
      <c r="C3" s="23" t="s">
        <v>81</v>
      </c>
      <c r="D3" s="23" t="s">
        <v>113</v>
      </c>
      <c r="E3" s="23" t="s">
        <v>114</v>
      </c>
      <c r="F3" s="23" t="s">
        <v>115</v>
      </c>
      <c r="G3" s="23" t="s">
        <v>116</v>
      </c>
      <c r="H3" s="64" t="s">
        <v>3053</v>
      </c>
      <c r="I3" s="23" t="s">
        <v>87</v>
      </c>
      <c r="J3" s="64" t="s">
        <v>3054</v>
      </c>
      <c r="K3" s="64" t="s">
        <v>3053</v>
      </c>
      <c r="L3" s="23" t="s">
        <v>89</v>
      </c>
      <c r="M3" s="23" t="s">
        <v>136</v>
      </c>
      <c r="N3" s="24" t="s">
        <v>119</v>
      </c>
      <c r="O3" s="25">
        <v>900000</v>
      </c>
      <c r="P3" s="64" t="s">
        <v>3049</v>
      </c>
      <c r="Q3" s="24" t="s">
        <v>119</v>
      </c>
      <c r="R3" s="24" t="s">
        <v>121</v>
      </c>
      <c r="S3" s="24">
        <v>46211</v>
      </c>
      <c r="T3" s="24" t="s">
        <v>123</v>
      </c>
      <c r="U3" s="23" t="s">
        <v>96</v>
      </c>
      <c r="V3" s="23" t="s">
        <v>97</v>
      </c>
      <c r="W3" s="23" t="s">
        <v>98</v>
      </c>
      <c r="X3" s="23" t="s">
        <v>99</v>
      </c>
      <c r="Y3" s="24" t="s">
        <v>124</v>
      </c>
      <c r="Z3" s="23" t="s">
        <v>101</v>
      </c>
      <c r="AA3" s="23" t="s">
        <v>125</v>
      </c>
      <c r="AB3" s="24" t="s">
        <v>126</v>
      </c>
      <c r="AC3" s="23" t="s">
        <v>104</v>
      </c>
      <c r="AD3" s="23" t="s">
        <v>127</v>
      </c>
      <c r="AE3" s="24" t="s">
        <v>128</v>
      </c>
      <c r="AF3" s="23" t="s">
        <v>129</v>
      </c>
      <c r="AG3" s="23" t="s">
        <v>130</v>
      </c>
      <c r="AH3" s="24"/>
      <c r="AI3" s="23"/>
      <c r="AJ3" s="24" t="s">
        <v>109</v>
      </c>
      <c r="AK3" s="23" t="s">
        <v>110</v>
      </c>
      <c r="AL3" s="23" t="s">
        <v>131</v>
      </c>
      <c r="AM3" s="23"/>
    </row>
    <row r="4" spans="1:39" ht="28.8" x14ac:dyDescent="0.3">
      <c r="A4" s="23" t="s">
        <v>132</v>
      </c>
      <c r="B4" s="23" t="s">
        <v>80</v>
      </c>
      <c r="C4" s="23" t="s">
        <v>81</v>
      </c>
      <c r="D4" s="23" t="s">
        <v>113</v>
      </c>
      <c r="E4" s="23" t="s">
        <v>114</v>
      </c>
      <c r="F4" s="23" t="s">
        <v>133</v>
      </c>
      <c r="G4" s="23" t="s">
        <v>134</v>
      </c>
      <c r="H4" s="23" t="s">
        <v>135</v>
      </c>
      <c r="I4" s="23" t="s">
        <v>87</v>
      </c>
      <c r="J4" s="23" t="s">
        <v>88</v>
      </c>
      <c r="K4" s="23" t="s">
        <v>135</v>
      </c>
      <c r="L4" s="23" t="s">
        <v>89</v>
      </c>
      <c r="M4" s="23" t="s">
        <v>136</v>
      </c>
      <c r="N4" s="24" t="s">
        <v>137</v>
      </c>
      <c r="O4" s="25">
        <v>700000</v>
      </c>
      <c r="P4" s="23" t="s">
        <v>138</v>
      </c>
      <c r="Q4" s="24" t="s">
        <v>137</v>
      </c>
      <c r="R4" s="24" t="s">
        <v>139</v>
      </c>
      <c r="S4" s="24" t="s">
        <v>140</v>
      </c>
      <c r="T4" s="24" t="s">
        <v>141</v>
      </c>
      <c r="U4" s="23" t="s">
        <v>96</v>
      </c>
      <c r="V4" s="23" t="s">
        <v>97</v>
      </c>
      <c r="W4" s="23" t="s">
        <v>98</v>
      </c>
      <c r="X4" s="23" t="s">
        <v>99</v>
      </c>
      <c r="Y4" s="24" t="s">
        <v>142</v>
      </c>
      <c r="Z4" s="23" t="s">
        <v>101</v>
      </c>
      <c r="AA4" s="23" t="s">
        <v>102</v>
      </c>
      <c r="AB4" s="24" t="s">
        <v>106</v>
      </c>
      <c r="AC4" s="23" t="s">
        <v>104</v>
      </c>
      <c r="AD4" s="23" t="s">
        <v>105</v>
      </c>
      <c r="AE4" s="24" t="s">
        <v>143</v>
      </c>
      <c r="AF4" s="23" t="s">
        <v>144</v>
      </c>
      <c r="AG4" s="23" t="s">
        <v>145</v>
      </c>
      <c r="AH4" s="24"/>
      <c r="AI4" s="23"/>
      <c r="AJ4" s="24" t="s">
        <v>146</v>
      </c>
      <c r="AK4" s="23" t="s">
        <v>110</v>
      </c>
      <c r="AL4" s="23" t="s">
        <v>147</v>
      </c>
      <c r="AM4" s="23"/>
    </row>
    <row r="5" spans="1:39" ht="28.8" x14ac:dyDescent="0.3">
      <c r="A5" s="23" t="s">
        <v>148</v>
      </c>
      <c r="B5" s="23" t="s">
        <v>80</v>
      </c>
      <c r="C5" s="23" t="s">
        <v>81</v>
      </c>
      <c r="D5" s="23" t="s">
        <v>149</v>
      </c>
      <c r="E5" s="23" t="s">
        <v>150</v>
      </c>
      <c r="F5" s="23" t="s">
        <v>151</v>
      </c>
      <c r="G5" s="23" t="s">
        <v>152</v>
      </c>
      <c r="H5" s="23" t="s">
        <v>153</v>
      </c>
      <c r="I5" s="23" t="s">
        <v>154</v>
      </c>
      <c r="J5" s="23" t="s">
        <v>88</v>
      </c>
      <c r="K5" s="23" t="s">
        <v>153</v>
      </c>
      <c r="L5" s="23" t="s">
        <v>89</v>
      </c>
      <c r="M5" s="23" t="s">
        <v>136</v>
      </c>
      <c r="N5" s="24" t="s">
        <v>155</v>
      </c>
      <c r="O5" s="25">
        <v>350000</v>
      </c>
      <c r="P5" s="23" t="s">
        <v>138</v>
      </c>
      <c r="Q5" s="24" t="s">
        <v>155</v>
      </c>
      <c r="R5" s="24" t="s">
        <v>156</v>
      </c>
      <c r="S5" s="24" t="s">
        <v>157</v>
      </c>
      <c r="T5" s="24" t="s">
        <v>158</v>
      </c>
      <c r="U5" s="23" t="s">
        <v>96</v>
      </c>
      <c r="V5" s="23" t="s">
        <v>97</v>
      </c>
      <c r="W5" s="23" t="s">
        <v>98</v>
      </c>
      <c r="X5" s="23" t="s">
        <v>159</v>
      </c>
      <c r="Y5" s="24" t="s">
        <v>160</v>
      </c>
      <c r="Z5" s="23" t="s">
        <v>161</v>
      </c>
      <c r="AA5" s="23" t="s">
        <v>162</v>
      </c>
      <c r="AB5" s="24" t="s">
        <v>163</v>
      </c>
      <c r="AC5" s="23" t="s">
        <v>104</v>
      </c>
      <c r="AD5" s="23" t="s">
        <v>127</v>
      </c>
      <c r="AE5" s="24" t="s">
        <v>164</v>
      </c>
      <c r="AF5" s="23" t="s">
        <v>165</v>
      </c>
      <c r="AG5" s="23" t="s">
        <v>166</v>
      </c>
      <c r="AH5" s="24"/>
      <c r="AI5" s="23"/>
      <c r="AJ5" s="24" t="s">
        <v>167</v>
      </c>
      <c r="AK5" s="23" t="s">
        <v>110</v>
      </c>
      <c r="AL5" s="23" t="s">
        <v>168</v>
      </c>
      <c r="AM5" s="23" t="s">
        <v>169</v>
      </c>
    </row>
    <row r="6" spans="1:39" ht="28.8" x14ac:dyDescent="0.3">
      <c r="A6" s="23" t="s">
        <v>170</v>
      </c>
      <c r="B6" s="23" t="s">
        <v>80</v>
      </c>
      <c r="C6" s="23" t="s">
        <v>81</v>
      </c>
      <c r="D6" s="23" t="s">
        <v>82</v>
      </c>
      <c r="E6" s="23" t="s">
        <v>171</v>
      </c>
      <c r="F6" s="23" t="s">
        <v>172</v>
      </c>
      <c r="G6" s="23" t="s">
        <v>173</v>
      </c>
      <c r="H6" s="23" t="s">
        <v>174</v>
      </c>
      <c r="I6" s="23" t="s">
        <v>87</v>
      </c>
      <c r="J6" s="23" t="s">
        <v>175</v>
      </c>
      <c r="K6" s="23" t="s">
        <v>174</v>
      </c>
      <c r="L6" s="23" t="s">
        <v>89</v>
      </c>
      <c r="M6" s="23" t="s">
        <v>90</v>
      </c>
      <c r="N6" s="24" t="s">
        <v>176</v>
      </c>
      <c r="O6" s="25">
        <v>650000</v>
      </c>
      <c r="P6" s="23" t="s">
        <v>177</v>
      </c>
      <c r="Q6" s="24" t="s">
        <v>176</v>
      </c>
      <c r="R6" s="24" t="s">
        <v>178</v>
      </c>
      <c r="S6" s="24" t="s">
        <v>179</v>
      </c>
      <c r="T6" s="24" t="s">
        <v>180</v>
      </c>
      <c r="U6" s="23" t="s">
        <v>96</v>
      </c>
      <c r="V6" s="23" t="s">
        <v>97</v>
      </c>
      <c r="W6" s="23" t="s">
        <v>98</v>
      </c>
      <c r="X6" s="23" t="s">
        <v>159</v>
      </c>
      <c r="Y6" s="24" t="s">
        <v>181</v>
      </c>
      <c r="Z6" s="23" t="s">
        <v>101</v>
      </c>
      <c r="AA6" s="23" t="s">
        <v>182</v>
      </c>
      <c r="AB6" s="24" t="s">
        <v>183</v>
      </c>
      <c r="AC6" s="23" t="s">
        <v>104</v>
      </c>
      <c r="AD6" s="23" t="s">
        <v>105</v>
      </c>
      <c r="AE6" s="24" t="s">
        <v>184</v>
      </c>
      <c r="AF6" s="23" t="s">
        <v>185</v>
      </c>
      <c r="AG6" s="23" t="s">
        <v>186</v>
      </c>
      <c r="AH6" s="24"/>
      <c r="AI6" s="23"/>
      <c r="AJ6" s="24" t="s">
        <v>187</v>
      </c>
      <c r="AK6" s="23" t="s">
        <v>110</v>
      </c>
      <c r="AL6" s="23" t="s">
        <v>131</v>
      </c>
      <c r="AM6" s="23" t="s">
        <v>188</v>
      </c>
    </row>
    <row r="7" spans="1:39" ht="28.8" x14ac:dyDescent="0.3">
      <c r="A7" s="23" t="s">
        <v>189</v>
      </c>
      <c r="B7" s="23" t="s">
        <v>80</v>
      </c>
      <c r="C7" s="23" t="s">
        <v>81</v>
      </c>
      <c r="D7" s="23" t="s">
        <v>149</v>
      </c>
      <c r="E7" s="23" t="s">
        <v>150</v>
      </c>
      <c r="F7" s="23" t="s">
        <v>190</v>
      </c>
      <c r="G7" s="23" t="s">
        <v>191</v>
      </c>
      <c r="H7" s="23" t="s">
        <v>192</v>
      </c>
      <c r="I7" s="23" t="s">
        <v>87</v>
      </c>
      <c r="J7" s="23" t="s">
        <v>88</v>
      </c>
      <c r="K7" s="23" t="s">
        <v>192</v>
      </c>
      <c r="L7" s="23" t="s">
        <v>89</v>
      </c>
      <c r="M7" s="23" t="s">
        <v>136</v>
      </c>
      <c r="N7" s="24" t="s">
        <v>193</v>
      </c>
      <c r="O7" s="25">
        <v>600000</v>
      </c>
      <c r="P7" s="23" t="s">
        <v>194</v>
      </c>
      <c r="Q7" s="24" t="s">
        <v>193</v>
      </c>
      <c r="R7" s="24" t="s">
        <v>195</v>
      </c>
      <c r="S7" s="24" t="s">
        <v>196</v>
      </c>
      <c r="T7" s="24" t="s">
        <v>197</v>
      </c>
      <c r="U7" s="23" t="s">
        <v>96</v>
      </c>
      <c r="V7" s="23" t="s">
        <v>97</v>
      </c>
      <c r="W7" s="23" t="s">
        <v>98</v>
      </c>
      <c r="X7" s="23" t="s">
        <v>159</v>
      </c>
      <c r="Y7" s="24" t="s">
        <v>100</v>
      </c>
      <c r="Z7" s="23" t="s">
        <v>161</v>
      </c>
      <c r="AA7" s="23" t="s">
        <v>125</v>
      </c>
      <c r="AB7" s="24" t="s">
        <v>198</v>
      </c>
      <c r="AC7" s="23" t="s">
        <v>104</v>
      </c>
      <c r="AD7" s="23" t="s">
        <v>127</v>
      </c>
      <c r="AE7" s="24" t="s">
        <v>199</v>
      </c>
      <c r="AF7" s="23" t="s">
        <v>200</v>
      </c>
      <c r="AG7" s="23" t="s">
        <v>201</v>
      </c>
      <c r="AH7" s="24"/>
      <c r="AI7" s="23"/>
      <c r="AJ7" s="24" t="s">
        <v>202</v>
      </c>
      <c r="AK7" s="23" t="s">
        <v>110</v>
      </c>
      <c r="AL7" s="23" t="s">
        <v>168</v>
      </c>
      <c r="AM7" s="23" t="s">
        <v>203</v>
      </c>
    </row>
    <row r="8" spans="1:39" ht="28.8" x14ac:dyDescent="0.3">
      <c r="A8" s="23" t="s">
        <v>204</v>
      </c>
      <c r="B8" s="23" t="s">
        <v>80</v>
      </c>
      <c r="C8" s="23" t="s">
        <v>81</v>
      </c>
      <c r="D8" s="23" t="s">
        <v>149</v>
      </c>
      <c r="E8" s="23" t="s">
        <v>205</v>
      </c>
      <c r="F8" s="23" t="s">
        <v>206</v>
      </c>
      <c r="G8" s="23" t="s">
        <v>207</v>
      </c>
      <c r="H8" s="23" t="s">
        <v>208</v>
      </c>
      <c r="I8" s="23" t="s">
        <v>87</v>
      </c>
      <c r="J8" s="23" t="s">
        <v>88</v>
      </c>
      <c r="K8" s="23" t="s">
        <v>208</v>
      </c>
      <c r="L8" s="23" t="s">
        <v>89</v>
      </c>
      <c r="M8" s="23" t="s">
        <v>136</v>
      </c>
      <c r="N8" s="24" t="s">
        <v>209</v>
      </c>
      <c r="O8" s="25">
        <v>650000</v>
      </c>
      <c r="P8" s="23" t="s">
        <v>210</v>
      </c>
      <c r="Q8" s="24" t="s">
        <v>209</v>
      </c>
      <c r="R8" s="24" t="s">
        <v>211</v>
      </c>
      <c r="S8" s="24" t="s">
        <v>212</v>
      </c>
      <c r="T8" s="24" t="s">
        <v>213</v>
      </c>
      <c r="U8" s="23" t="s">
        <v>96</v>
      </c>
      <c r="V8" s="23" t="s">
        <v>97</v>
      </c>
      <c r="W8" s="23" t="s">
        <v>98</v>
      </c>
      <c r="X8" s="23" t="s">
        <v>159</v>
      </c>
      <c r="Y8" s="24" t="s">
        <v>214</v>
      </c>
      <c r="Z8" s="23" t="s">
        <v>161</v>
      </c>
      <c r="AA8" s="23" t="s">
        <v>102</v>
      </c>
      <c r="AB8" s="24" t="s">
        <v>198</v>
      </c>
      <c r="AC8" s="23" t="s">
        <v>104</v>
      </c>
      <c r="AD8" s="23" t="s">
        <v>105</v>
      </c>
      <c r="AE8" s="24" t="s">
        <v>215</v>
      </c>
      <c r="AF8" s="23" t="s">
        <v>216</v>
      </c>
      <c r="AG8" s="23" t="s">
        <v>217</v>
      </c>
      <c r="AH8" s="24"/>
      <c r="AI8" s="23"/>
      <c r="AJ8" s="24" t="s">
        <v>218</v>
      </c>
      <c r="AK8" s="23" t="s">
        <v>110</v>
      </c>
      <c r="AL8" s="23" t="s">
        <v>219</v>
      </c>
      <c r="AM8" s="23" t="s">
        <v>220</v>
      </c>
    </row>
    <row r="9" spans="1:39" ht="28.8" x14ac:dyDescent="0.3">
      <c r="A9" s="23" t="s">
        <v>221</v>
      </c>
      <c r="B9" s="23" t="s">
        <v>80</v>
      </c>
      <c r="C9" s="23" t="s">
        <v>81</v>
      </c>
      <c r="D9" s="23" t="s">
        <v>149</v>
      </c>
      <c r="E9" s="23" t="s">
        <v>222</v>
      </c>
      <c r="F9" s="23" t="s">
        <v>223</v>
      </c>
      <c r="G9" s="23" t="s">
        <v>224</v>
      </c>
      <c r="H9" s="23" t="s">
        <v>225</v>
      </c>
      <c r="I9" s="23" t="s">
        <v>87</v>
      </c>
      <c r="J9" s="23" t="s">
        <v>88</v>
      </c>
      <c r="K9" s="23" t="s">
        <v>225</v>
      </c>
      <c r="L9" s="23" t="s">
        <v>89</v>
      </c>
      <c r="M9" s="23" t="s">
        <v>90</v>
      </c>
      <c r="N9" s="24" t="s">
        <v>226</v>
      </c>
      <c r="O9" s="25">
        <v>650000</v>
      </c>
      <c r="P9" s="23" t="s">
        <v>227</v>
      </c>
      <c r="Q9" s="24" t="s">
        <v>226</v>
      </c>
      <c r="R9" s="24" t="s">
        <v>228</v>
      </c>
      <c r="S9" s="24" t="s">
        <v>229</v>
      </c>
      <c r="T9" s="24" t="s">
        <v>230</v>
      </c>
      <c r="U9" s="23" t="s">
        <v>96</v>
      </c>
      <c r="V9" s="23" t="s">
        <v>97</v>
      </c>
      <c r="W9" s="23" t="s">
        <v>98</v>
      </c>
      <c r="X9" s="23" t="s">
        <v>99</v>
      </c>
      <c r="Y9" s="24" t="s">
        <v>187</v>
      </c>
      <c r="Z9" s="23" t="s">
        <v>161</v>
      </c>
      <c r="AA9" s="23" t="s">
        <v>125</v>
      </c>
      <c r="AB9" s="24" t="s">
        <v>231</v>
      </c>
      <c r="AC9" s="23" t="s">
        <v>104</v>
      </c>
      <c r="AD9" s="23" t="s">
        <v>105</v>
      </c>
      <c r="AE9" s="24" t="s">
        <v>232</v>
      </c>
      <c r="AF9" s="23" t="s">
        <v>233</v>
      </c>
      <c r="AG9" s="23" t="s">
        <v>234</v>
      </c>
      <c r="AH9" s="24"/>
      <c r="AI9" s="23"/>
      <c r="AJ9" s="24" t="s">
        <v>235</v>
      </c>
      <c r="AK9" s="23" t="s">
        <v>110</v>
      </c>
      <c r="AL9" s="23" t="s">
        <v>111</v>
      </c>
      <c r="AM9" s="23" t="s">
        <v>236</v>
      </c>
    </row>
    <row r="10" spans="1:39" ht="28.8" x14ac:dyDescent="0.3">
      <c r="A10" s="23" t="s">
        <v>237</v>
      </c>
      <c r="B10" s="23" t="s">
        <v>80</v>
      </c>
      <c r="C10" s="23" t="s">
        <v>81</v>
      </c>
      <c r="D10" s="23" t="s">
        <v>149</v>
      </c>
      <c r="E10" s="23" t="s">
        <v>222</v>
      </c>
      <c r="F10" s="23" t="s">
        <v>238</v>
      </c>
      <c r="G10" s="23" t="s">
        <v>239</v>
      </c>
      <c r="H10" s="23" t="s">
        <v>240</v>
      </c>
      <c r="I10" s="23" t="s">
        <v>87</v>
      </c>
      <c r="J10" s="23" t="s">
        <v>175</v>
      </c>
      <c r="K10" s="23" t="s">
        <v>240</v>
      </c>
      <c r="L10" s="23" t="s">
        <v>89</v>
      </c>
      <c r="M10" s="23" t="s">
        <v>136</v>
      </c>
      <c r="N10" s="24" t="s">
        <v>241</v>
      </c>
      <c r="O10" s="25">
        <v>600000</v>
      </c>
      <c r="P10" s="23" t="s">
        <v>138</v>
      </c>
      <c r="Q10" s="24" t="s">
        <v>241</v>
      </c>
      <c r="R10" s="24" t="s">
        <v>242</v>
      </c>
      <c r="S10" s="24" t="s">
        <v>218</v>
      </c>
      <c r="T10" s="24" t="s">
        <v>243</v>
      </c>
      <c r="U10" s="23" t="s">
        <v>96</v>
      </c>
      <c r="V10" s="23" t="s">
        <v>97</v>
      </c>
      <c r="W10" s="23" t="s">
        <v>98</v>
      </c>
      <c r="X10" s="23" t="s">
        <v>99</v>
      </c>
      <c r="Y10" s="24" t="s">
        <v>160</v>
      </c>
      <c r="Z10" s="23" t="s">
        <v>161</v>
      </c>
      <c r="AA10" s="23" t="s">
        <v>125</v>
      </c>
      <c r="AB10" s="24" t="s">
        <v>244</v>
      </c>
      <c r="AC10" s="23" t="s">
        <v>104</v>
      </c>
      <c r="AD10" s="23" t="s">
        <v>105</v>
      </c>
      <c r="AE10" s="24" t="s">
        <v>245</v>
      </c>
      <c r="AF10" s="23" t="s">
        <v>246</v>
      </c>
      <c r="AG10" s="23" t="s">
        <v>247</v>
      </c>
      <c r="AH10" s="24"/>
      <c r="AI10" s="23"/>
      <c r="AJ10" s="24" t="s">
        <v>248</v>
      </c>
      <c r="AK10" s="23" t="s">
        <v>110</v>
      </c>
      <c r="AL10" s="23" t="s">
        <v>111</v>
      </c>
      <c r="AM10" s="23" t="s">
        <v>249</v>
      </c>
    </row>
    <row r="11" spans="1:39" ht="28.8" x14ac:dyDescent="0.3">
      <c r="A11" s="23" t="s">
        <v>250</v>
      </c>
      <c r="B11" s="23" t="s">
        <v>80</v>
      </c>
      <c r="C11" s="23" t="s">
        <v>81</v>
      </c>
      <c r="D11" s="23" t="s">
        <v>82</v>
      </c>
      <c r="E11" s="23" t="s">
        <v>251</v>
      </c>
      <c r="F11" s="23" t="s">
        <v>252</v>
      </c>
      <c r="G11" s="23" t="s">
        <v>253</v>
      </c>
      <c r="H11" s="23" t="s">
        <v>254</v>
      </c>
      <c r="I11" s="23" t="s">
        <v>87</v>
      </c>
      <c r="J11" s="23" t="s">
        <v>88</v>
      </c>
      <c r="K11" s="23" t="s">
        <v>254</v>
      </c>
      <c r="L11" s="23" t="s">
        <v>89</v>
      </c>
      <c r="M11" s="23" t="s">
        <v>136</v>
      </c>
      <c r="N11" s="24" t="s">
        <v>255</v>
      </c>
      <c r="O11" s="25">
        <v>600000</v>
      </c>
      <c r="P11" s="23" t="s">
        <v>227</v>
      </c>
      <c r="Q11" s="24" t="s">
        <v>255</v>
      </c>
      <c r="R11" s="24" t="s">
        <v>256</v>
      </c>
      <c r="S11" s="24" t="s">
        <v>257</v>
      </c>
      <c r="T11" s="24" t="s">
        <v>95</v>
      </c>
      <c r="U11" s="23" t="s">
        <v>96</v>
      </c>
      <c r="V11" s="23" t="s">
        <v>97</v>
      </c>
      <c r="W11" s="23" t="s">
        <v>98</v>
      </c>
      <c r="X11" s="23" t="s">
        <v>99</v>
      </c>
      <c r="Y11" s="24" t="s">
        <v>214</v>
      </c>
      <c r="Z11" s="23" t="s">
        <v>101</v>
      </c>
      <c r="AA11" s="23" t="s">
        <v>102</v>
      </c>
      <c r="AB11" s="24" t="s">
        <v>258</v>
      </c>
      <c r="AC11" s="23" t="s">
        <v>104</v>
      </c>
      <c r="AD11" s="23" t="s">
        <v>105</v>
      </c>
      <c r="AE11" s="24" t="s">
        <v>259</v>
      </c>
      <c r="AF11" s="23" t="s">
        <v>260</v>
      </c>
      <c r="AG11" s="23" t="s">
        <v>261</v>
      </c>
      <c r="AH11" s="24"/>
      <c r="AI11" s="23"/>
      <c r="AJ11" s="24" t="s">
        <v>262</v>
      </c>
      <c r="AK11" s="23" t="s">
        <v>110</v>
      </c>
      <c r="AL11" s="23" t="s">
        <v>111</v>
      </c>
      <c r="AM11" s="23" t="s">
        <v>263</v>
      </c>
    </row>
    <row r="12" spans="1:39" ht="28.8" x14ac:dyDescent="0.3">
      <c r="A12" s="23" t="s">
        <v>264</v>
      </c>
      <c r="B12" s="23" t="s">
        <v>80</v>
      </c>
      <c r="C12" s="23" t="s">
        <v>81</v>
      </c>
      <c r="D12" s="23" t="s">
        <v>149</v>
      </c>
      <c r="E12" s="23" t="s">
        <v>205</v>
      </c>
      <c r="F12" s="23" t="s">
        <v>265</v>
      </c>
      <c r="G12" s="23" t="s">
        <v>266</v>
      </c>
      <c r="H12" s="23" t="s">
        <v>267</v>
      </c>
      <c r="I12" s="23" t="s">
        <v>154</v>
      </c>
      <c r="J12" s="23" t="s">
        <v>88</v>
      </c>
      <c r="K12" s="23" t="s">
        <v>267</v>
      </c>
      <c r="L12" s="23" t="s">
        <v>89</v>
      </c>
      <c r="M12" s="23" t="s">
        <v>136</v>
      </c>
      <c r="N12" s="24" t="s">
        <v>268</v>
      </c>
      <c r="O12" s="25">
        <v>650000</v>
      </c>
      <c r="P12" s="23" t="s">
        <v>269</v>
      </c>
      <c r="Q12" s="24" t="s">
        <v>268</v>
      </c>
      <c r="R12" s="24" t="s">
        <v>270</v>
      </c>
      <c r="S12" s="24" t="s">
        <v>196</v>
      </c>
      <c r="T12" s="24" t="s">
        <v>271</v>
      </c>
      <c r="U12" s="23" t="s">
        <v>96</v>
      </c>
      <c r="V12" s="23" t="s">
        <v>97</v>
      </c>
      <c r="W12" s="23" t="s">
        <v>98</v>
      </c>
      <c r="X12" s="23" t="s">
        <v>99</v>
      </c>
      <c r="Y12" s="24" t="s">
        <v>160</v>
      </c>
      <c r="Z12" s="23" t="s">
        <v>101</v>
      </c>
      <c r="AA12" s="23" t="s">
        <v>102</v>
      </c>
      <c r="AB12" s="24" t="s">
        <v>272</v>
      </c>
      <c r="AC12" s="23" t="s">
        <v>104</v>
      </c>
      <c r="AD12" s="23" t="s">
        <v>105</v>
      </c>
      <c r="AE12" s="24" t="s">
        <v>273</v>
      </c>
      <c r="AF12" s="23" t="s">
        <v>274</v>
      </c>
      <c r="AG12" s="23" t="s">
        <v>275</v>
      </c>
      <c r="AH12" s="24"/>
      <c r="AI12" s="23"/>
      <c r="AJ12" s="24" t="s">
        <v>276</v>
      </c>
      <c r="AK12" s="23" t="s">
        <v>110</v>
      </c>
      <c r="AL12" s="23" t="s">
        <v>131</v>
      </c>
      <c r="AM12" s="23" t="s">
        <v>277</v>
      </c>
    </row>
    <row r="13" spans="1:39" ht="28.8" x14ac:dyDescent="0.3">
      <c r="A13" s="23" t="s">
        <v>278</v>
      </c>
      <c r="B13" s="23" t="s">
        <v>80</v>
      </c>
      <c r="C13" s="23" t="s">
        <v>81</v>
      </c>
      <c r="D13" s="23" t="s">
        <v>82</v>
      </c>
      <c r="E13" s="23" t="s">
        <v>279</v>
      </c>
      <c r="F13" s="23" t="s">
        <v>280</v>
      </c>
      <c r="G13" s="23" t="s">
        <v>281</v>
      </c>
      <c r="H13" s="23" t="s">
        <v>282</v>
      </c>
      <c r="I13" s="23" t="s">
        <v>87</v>
      </c>
      <c r="J13" s="23" t="s">
        <v>88</v>
      </c>
      <c r="K13" s="23" t="s">
        <v>282</v>
      </c>
      <c r="L13" s="23" t="s">
        <v>89</v>
      </c>
      <c r="M13" s="23" t="s">
        <v>283</v>
      </c>
      <c r="N13" s="24" t="s">
        <v>284</v>
      </c>
      <c r="O13" s="25">
        <v>550000</v>
      </c>
      <c r="P13" s="23" t="s">
        <v>177</v>
      </c>
      <c r="Q13" s="24" t="s">
        <v>284</v>
      </c>
      <c r="R13" s="24" t="s">
        <v>285</v>
      </c>
      <c r="S13" s="24" t="s">
        <v>124</v>
      </c>
      <c r="T13" s="24" t="s">
        <v>286</v>
      </c>
      <c r="U13" s="23" t="s">
        <v>96</v>
      </c>
      <c r="V13" s="23" t="s">
        <v>97</v>
      </c>
      <c r="W13" s="23" t="s">
        <v>98</v>
      </c>
      <c r="X13" s="23" t="s">
        <v>99</v>
      </c>
      <c r="Y13" s="24" t="s">
        <v>287</v>
      </c>
      <c r="Z13" s="23" t="s">
        <v>101</v>
      </c>
      <c r="AA13" s="23" t="s">
        <v>162</v>
      </c>
      <c r="AB13" s="24" t="s">
        <v>123</v>
      </c>
      <c r="AC13" s="23" t="s">
        <v>104</v>
      </c>
      <c r="AD13" s="23" t="s">
        <v>105</v>
      </c>
      <c r="AE13" s="24" t="s">
        <v>288</v>
      </c>
      <c r="AF13" s="23" t="s">
        <v>289</v>
      </c>
      <c r="AG13" s="23" t="s">
        <v>290</v>
      </c>
      <c r="AH13" s="24"/>
      <c r="AI13" s="23"/>
      <c r="AJ13" s="24" t="s">
        <v>291</v>
      </c>
      <c r="AK13" s="23" t="s">
        <v>110</v>
      </c>
      <c r="AL13" s="23" t="s">
        <v>131</v>
      </c>
      <c r="AM13" s="23" t="s">
        <v>292</v>
      </c>
    </row>
    <row r="14" spans="1:39" ht="28.8" x14ac:dyDescent="0.3">
      <c r="A14" s="23" t="s">
        <v>293</v>
      </c>
      <c r="B14" s="23" t="s">
        <v>80</v>
      </c>
      <c r="C14" s="23" t="s">
        <v>81</v>
      </c>
      <c r="D14" s="23" t="s">
        <v>82</v>
      </c>
      <c r="E14" s="23" t="s">
        <v>294</v>
      </c>
      <c r="F14" s="23" t="s">
        <v>295</v>
      </c>
      <c r="G14" s="23" t="s">
        <v>296</v>
      </c>
      <c r="H14" s="23" t="s">
        <v>297</v>
      </c>
      <c r="I14" s="23" t="s">
        <v>87</v>
      </c>
      <c r="J14" s="23" t="s">
        <v>88</v>
      </c>
      <c r="K14" s="23" t="s">
        <v>297</v>
      </c>
      <c r="L14" s="23" t="s">
        <v>89</v>
      </c>
      <c r="M14" s="23" t="s">
        <v>136</v>
      </c>
      <c r="N14" s="24" t="s">
        <v>298</v>
      </c>
      <c r="O14" s="25">
        <v>550000</v>
      </c>
      <c r="P14" s="23" t="s">
        <v>299</v>
      </c>
      <c r="Q14" s="24" t="s">
        <v>298</v>
      </c>
      <c r="R14" s="24" t="s">
        <v>300</v>
      </c>
      <c r="S14" s="24" t="s">
        <v>301</v>
      </c>
      <c r="T14" s="24" t="s">
        <v>302</v>
      </c>
      <c r="U14" s="23" t="s">
        <v>96</v>
      </c>
      <c r="V14" s="23" t="s">
        <v>97</v>
      </c>
      <c r="W14" s="23" t="s">
        <v>98</v>
      </c>
      <c r="X14" s="23" t="s">
        <v>99</v>
      </c>
      <c r="Y14" s="24" t="s">
        <v>303</v>
      </c>
      <c r="Z14" s="23" t="s">
        <v>101</v>
      </c>
      <c r="AA14" s="23" t="s">
        <v>102</v>
      </c>
      <c r="AB14" s="24" t="s">
        <v>304</v>
      </c>
      <c r="AC14" s="23" t="s">
        <v>104</v>
      </c>
      <c r="AD14" s="23" t="s">
        <v>105</v>
      </c>
      <c r="AE14" s="24" t="s">
        <v>305</v>
      </c>
      <c r="AF14" s="23" t="s">
        <v>306</v>
      </c>
      <c r="AG14" s="23" t="s">
        <v>307</v>
      </c>
      <c r="AH14" s="24"/>
      <c r="AI14" s="23"/>
      <c r="AJ14" s="24" t="s">
        <v>308</v>
      </c>
      <c r="AK14" s="23" t="s">
        <v>110</v>
      </c>
      <c r="AL14" s="23" t="s">
        <v>147</v>
      </c>
      <c r="AM14" s="23" t="s">
        <v>309</v>
      </c>
    </row>
    <row r="15" spans="1:39" ht="28.8" x14ac:dyDescent="0.3">
      <c r="A15" s="23" t="s">
        <v>310</v>
      </c>
      <c r="B15" s="23" t="s">
        <v>80</v>
      </c>
      <c r="C15" s="23" t="s">
        <v>81</v>
      </c>
      <c r="D15" s="23" t="s">
        <v>82</v>
      </c>
      <c r="E15" s="23" t="s">
        <v>311</v>
      </c>
      <c r="F15" s="23" t="s">
        <v>312</v>
      </c>
      <c r="G15" s="23" t="s">
        <v>313</v>
      </c>
      <c r="H15" s="23" t="s">
        <v>314</v>
      </c>
      <c r="I15" s="23" t="s">
        <v>315</v>
      </c>
      <c r="J15" s="23" t="s">
        <v>88</v>
      </c>
      <c r="K15" s="23" t="s">
        <v>314</v>
      </c>
      <c r="L15" s="23" t="s">
        <v>89</v>
      </c>
      <c r="M15" s="23" t="s">
        <v>136</v>
      </c>
      <c r="N15" s="24" t="s">
        <v>316</v>
      </c>
      <c r="O15" s="25">
        <v>550000</v>
      </c>
      <c r="P15" s="23" t="s">
        <v>138</v>
      </c>
      <c r="Q15" s="24" t="s">
        <v>316</v>
      </c>
      <c r="R15" s="24" t="s">
        <v>317</v>
      </c>
      <c r="S15" s="24" t="s">
        <v>318</v>
      </c>
      <c r="T15" s="24" t="s">
        <v>319</v>
      </c>
      <c r="U15" s="23" t="s">
        <v>96</v>
      </c>
      <c r="V15" s="23" t="s">
        <v>97</v>
      </c>
      <c r="W15" s="23" t="s">
        <v>98</v>
      </c>
      <c r="X15" s="23" t="s">
        <v>99</v>
      </c>
      <c r="Y15" s="24" t="s">
        <v>303</v>
      </c>
      <c r="Z15" s="23" t="s">
        <v>101</v>
      </c>
      <c r="AA15" s="23" t="s">
        <v>102</v>
      </c>
      <c r="AB15" s="24" t="s">
        <v>320</v>
      </c>
      <c r="AC15" s="23" t="s">
        <v>104</v>
      </c>
      <c r="AD15" s="23" t="s">
        <v>105</v>
      </c>
      <c r="AE15" s="24" t="s">
        <v>321</v>
      </c>
      <c r="AF15" s="23" t="s">
        <v>322</v>
      </c>
      <c r="AG15" s="23" t="s">
        <v>323</v>
      </c>
      <c r="AH15" s="24"/>
      <c r="AI15" s="23"/>
      <c r="AJ15" s="24" t="s">
        <v>124</v>
      </c>
      <c r="AK15" s="23" t="s">
        <v>110</v>
      </c>
      <c r="AL15" s="23" t="s">
        <v>111</v>
      </c>
      <c r="AM15" s="23" t="s">
        <v>309</v>
      </c>
    </row>
    <row r="16" spans="1:39" ht="28.8" x14ac:dyDescent="0.3">
      <c r="A16" s="23" t="s">
        <v>324</v>
      </c>
      <c r="B16" s="23" t="s">
        <v>80</v>
      </c>
      <c r="C16" s="23" t="s">
        <v>81</v>
      </c>
      <c r="D16" s="23" t="s">
        <v>113</v>
      </c>
      <c r="E16" s="23" t="s">
        <v>325</v>
      </c>
      <c r="F16" s="23" t="s">
        <v>326</v>
      </c>
      <c r="G16" s="23" t="s">
        <v>327</v>
      </c>
      <c r="H16" s="23" t="s">
        <v>328</v>
      </c>
      <c r="I16" s="23" t="s">
        <v>87</v>
      </c>
      <c r="J16" s="23" t="s">
        <v>175</v>
      </c>
      <c r="K16" s="23" t="s">
        <v>328</v>
      </c>
      <c r="L16" s="23" t="s">
        <v>89</v>
      </c>
      <c r="M16" s="23" t="s">
        <v>136</v>
      </c>
      <c r="N16" s="24" t="s">
        <v>329</v>
      </c>
      <c r="O16" s="25">
        <v>800000</v>
      </c>
      <c r="P16" s="23" t="s">
        <v>227</v>
      </c>
      <c r="Q16" s="24" t="s">
        <v>329</v>
      </c>
      <c r="R16" s="24" t="s">
        <v>330</v>
      </c>
      <c r="S16" s="24" t="s">
        <v>331</v>
      </c>
      <c r="T16" s="24" t="s">
        <v>286</v>
      </c>
      <c r="U16" s="23" t="s">
        <v>96</v>
      </c>
      <c r="V16" s="23" t="s">
        <v>97</v>
      </c>
      <c r="W16" s="23" t="s">
        <v>98</v>
      </c>
      <c r="X16" s="23" t="s">
        <v>159</v>
      </c>
      <c r="Y16" s="24" t="s">
        <v>276</v>
      </c>
      <c r="Z16" s="23" t="s">
        <v>161</v>
      </c>
      <c r="AA16" s="23" t="s">
        <v>125</v>
      </c>
      <c r="AB16" s="24" t="s">
        <v>332</v>
      </c>
      <c r="AC16" s="23" t="s">
        <v>104</v>
      </c>
      <c r="AD16" s="23" t="s">
        <v>105</v>
      </c>
      <c r="AE16" s="24" t="s">
        <v>333</v>
      </c>
      <c r="AF16" s="23" t="s">
        <v>334</v>
      </c>
      <c r="AG16" s="23" t="s">
        <v>335</v>
      </c>
      <c r="AH16" s="24"/>
      <c r="AI16" s="23"/>
      <c r="AJ16" s="24" t="s">
        <v>336</v>
      </c>
      <c r="AK16" s="23" t="s">
        <v>110</v>
      </c>
      <c r="AL16" s="23" t="s">
        <v>111</v>
      </c>
      <c r="AM16" s="23"/>
    </row>
    <row r="17" spans="1:39" ht="28.8" x14ac:dyDescent="0.3">
      <c r="A17" s="23" t="s">
        <v>337</v>
      </c>
      <c r="B17" s="23" t="s">
        <v>80</v>
      </c>
      <c r="C17" s="23" t="s">
        <v>81</v>
      </c>
      <c r="D17" s="23" t="s">
        <v>338</v>
      </c>
      <c r="E17" s="23" t="s">
        <v>339</v>
      </c>
      <c r="F17" s="23" t="s">
        <v>340</v>
      </c>
      <c r="G17" s="23" t="s">
        <v>341</v>
      </c>
      <c r="H17" s="23" t="s">
        <v>342</v>
      </c>
      <c r="I17" s="23" t="s">
        <v>87</v>
      </c>
      <c r="J17" s="23" t="s">
        <v>88</v>
      </c>
      <c r="K17" s="23" t="s">
        <v>342</v>
      </c>
      <c r="L17" s="23" t="s">
        <v>89</v>
      </c>
      <c r="M17" s="23" t="s">
        <v>90</v>
      </c>
      <c r="N17" s="24" t="s">
        <v>343</v>
      </c>
      <c r="O17" s="25">
        <v>1650000</v>
      </c>
      <c r="P17" s="23" t="s">
        <v>194</v>
      </c>
      <c r="Q17" s="24" t="s">
        <v>343</v>
      </c>
      <c r="R17" s="24" t="s">
        <v>344</v>
      </c>
      <c r="S17" s="24" t="s">
        <v>345</v>
      </c>
      <c r="T17" s="24" t="s">
        <v>141</v>
      </c>
      <c r="U17" s="23" t="s">
        <v>96</v>
      </c>
      <c r="V17" s="23" t="s">
        <v>97</v>
      </c>
      <c r="W17" s="23" t="s">
        <v>98</v>
      </c>
      <c r="X17" s="23" t="s">
        <v>99</v>
      </c>
      <c r="Y17" s="24" t="s">
        <v>346</v>
      </c>
      <c r="Z17" s="23" t="s">
        <v>101</v>
      </c>
      <c r="AA17" s="23" t="s">
        <v>102</v>
      </c>
      <c r="AB17" s="24" t="s">
        <v>198</v>
      </c>
      <c r="AC17" s="23" t="s">
        <v>104</v>
      </c>
      <c r="AD17" s="23" t="s">
        <v>127</v>
      </c>
      <c r="AE17" s="24" t="s">
        <v>347</v>
      </c>
      <c r="AF17" s="23" t="s">
        <v>348</v>
      </c>
      <c r="AG17" s="23" t="s">
        <v>349</v>
      </c>
      <c r="AH17" s="24"/>
      <c r="AI17" s="23"/>
      <c r="AJ17" s="24" t="s">
        <v>350</v>
      </c>
      <c r="AK17" s="23" t="s">
        <v>110</v>
      </c>
      <c r="AL17" s="23" t="s">
        <v>219</v>
      </c>
      <c r="AM17" s="23" t="s">
        <v>263</v>
      </c>
    </row>
    <row r="18" spans="1:39" ht="28.8" x14ac:dyDescent="0.3">
      <c r="A18" s="23" t="s">
        <v>351</v>
      </c>
      <c r="B18" s="23" t="s">
        <v>80</v>
      </c>
      <c r="C18" s="23" t="s">
        <v>81</v>
      </c>
      <c r="D18" s="23" t="s">
        <v>352</v>
      </c>
      <c r="E18" s="23" t="s">
        <v>353</v>
      </c>
      <c r="F18" s="23" t="s">
        <v>354</v>
      </c>
      <c r="G18" s="23" t="s">
        <v>355</v>
      </c>
      <c r="H18" s="23" t="s">
        <v>356</v>
      </c>
      <c r="I18" s="23" t="s">
        <v>87</v>
      </c>
      <c r="J18" s="23" t="s">
        <v>175</v>
      </c>
      <c r="K18" s="23" t="s">
        <v>356</v>
      </c>
      <c r="L18" s="23" t="s">
        <v>89</v>
      </c>
      <c r="M18" s="23" t="s">
        <v>283</v>
      </c>
      <c r="N18" s="24" t="s">
        <v>357</v>
      </c>
      <c r="O18" s="25">
        <v>350000</v>
      </c>
      <c r="P18" s="23" t="s">
        <v>92</v>
      </c>
      <c r="Q18" s="24" t="s">
        <v>357</v>
      </c>
      <c r="R18" s="24" t="s">
        <v>358</v>
      </c>
      <c r="S18" s="24" t="s">
        <v>359</v>
      </c>
      <c r="T18" s="24" t="s">
        <v>360</v>
      </c>
      <c r="U18" s="23" t="s">
        <v>96</v>
      </c>
      <c r="V18" s="23" t="s">
        <v>97</v>
      </c>
      <c r="W18" s="23" t="s">
        <v>98</v>
      </c>
      <c r="X18" s="23" t="s">
        <v>99</v>
      </c>
      <c r="Y18" s="24" t="s">
        <v>361</v>
      </c>
      <c r="Z18" s="23" t="s">
        <v>161</v>
      </c>
      <c r="AA18" s="23" t="s">
        <v>162</v>
      </c>
      <c r="AB18" s="24" t="s">
        <v>272</v>
      </c>
      <c r="AC18" s="23" t="s">
        <v>104</v>
      </c>
      <c r="AD18" s="23" t="s">
        <v>105</v>
      </c>
      <c r="AE18" s="24" t="s">
        <v>362</v>
      </c>
      <c r="AF18" s="23" t="s">
        <v>363</v>
      </c>
      <c r="AG18" s="23" t="s">
        <v>364</v>
      </c>
      <c r="AH18" s="24"/>
      <c r="AI18" s="23"/>
      <c r="AJ18" s="24" t="s">
        <v>142</v>
      </c>
      <c r="AK18" s="23" t="s">
        <v>110</v>
      </c>
      <c r="AL18" s="23" t="s">
        <v>147</v>
      </c>
      <c r="AM18" s="23" t="s">
        <v>365</v>
      </c>
    </row>
    <row r="19" spans="1:39" ht="28.8" x14ac:dyDescent="0.3">
      <c r="A19" s="23" t="s">
        <v>366</v>
      </c>
      <c r="B19" s="23" t="s">
        <v>80</v>
      </c>
      <c r="C19" s="23" t="s">
        <v>81</v>
      </c>
      <c r="D19" s="23" t="s">
        <v>352</v>
      </c>
      <c r="E19" s="23" t="s">
        <v>367</v>
      </c>
      <c r="F19" s="23" t="s">
        <v>368</v>
      </c>
      <c r="G19" s="23" t="s">
        <v>369</v>
      </c>
      <c r="H19" s="23" t="s">
        <v>370</v>
      </c>
      <c r="I19" s="23" t="s">
        <v>87</v>
      </c>
      <c r="J19" s="23" t="s">
        <v>88</v>
      </c>
      <c r="K19" s="23" t="s">
        <v>370</v>
      </c>
      <c r="L19" s="23" t="s">
        <v>89</v>
      </c>
      <c r="M19" s="23" t="s">
        <v>90</v>
      </c>
      <c r="N19" s="24" t="s">
        <v>371</v>
      </c>
      <c r="O19" s="25">
        <v>650000</v>
      </c>
      <c r="P19" s="23" t="s">
        <v>138</v>
      </c>
      <c r="Q19" s="24" t="s">
        <v>371</v>
      </c>
      <c r="R19" s="24" t="s">
        <v>372</v>
      </c>
      <c r="S19" s="24" t="s">
        <v>373</v>
      </c>
      <c r="T19" s="24" t="s">
        <v>374</v>
      </c>
      <c r="U19" s="23" t="s">
        <v>96</v>
      </c>
      <c r="V19" s="23" t="s">
        <v>97</v>
      </c>
      <c r="W19" s="23" t="s">
        <v>98</v>
      </c>
      <c r="X19" s="23" t="s">
        <v>99</v>
      </c>
      <c r="Y19" s="24" t="s">
        <v>331</v>
      </c>
      <c r="Z19" s="23" t="s">
        <v>101</v>
      </c>
      <c r="AA19" s="23" t="s">
        <v>102</v>
      </c>
      <c r="AB19" s="24" t="s">
        <v>375</v>
      </c>
      <c r="AC19" s="23" t="s">
        <v>104</v>
      </c>
      <c r="AD19" s="23" t="s">
        <v>105</v>
      </c>
      <c r="AE19" s="24" t="s">
        <v>376</v>
      </c>
      <c r="AF19" s="23" t="s">
        <v>377</v>
      </c>
      <c r="AG19" s="23" t="s">
        <v>378</v>
      </c>
      <c r="AH19" s="24"/>
      <c r="AI19" s="23"/>
      <c r="AJ19" s="24" t="s">
        <v>262</v>
      </c>
      <c r="AK19" s="23" t="s">
        <v>110</v>
      </c>
      <c r="AL19" s="23" t="s">
        <v>131</v>
      </c>
      <c r="AM19" s="23"/>
    </row>
    <row r="20" spans="1:39" ht="28.8" x14ac:dyDescent="0.3">
      <c r="A20" s="23" t="s">
        <v>379</v>
      </c>
      <c r="B20" s="23" t="s">
        <v>80</v>
      </c>
      <c r="C20" s="23" t="s">
        <v>81</v>
      </c>
      <c r="D20" s="23" t="s">
        <v>380</v>
      </c>
      <c r="E20" s="23" t="s">
        <v>381</v>
      </c>
      <c r="F20" s="23" t="s">
        <v>382</v>
      </c>
      <c r="G20" s="23" t="s">
        <v>383</v>
      </c>
      <c r="H20" s="23" t="s">
        <v>384</v>
      </c>
      <c r="I20" s="23" t="s">
        <v>154</v>
      </c>
      <c r="J20" s="23" t="s">
        <v>175</v>
      </c>
      <c r="K20" s="23" t="s">
        <v>384</v>
      </c>
      <c r="L20" s="23" t="s">
        <v>89</v>
      </c>
      <c r="M20" s="23" t="s">
        <v>283</v>
      </c>
      <c r="N20" s="24" t="s">
        <v>385</v>
      </c>
      <c r="O20" s="25">
        <v>550000</v>
      </c>
      <c r="P20" s="23" t="s">
        <v>92</v>
      </c>
      <c r="Q20" s="24" t="s">
        <v>385</v>
      </c>
      <c r="R20" s="24" t="s">
        <v>386</v>
      </c>
      <c r="S20" s="24" t="s">
        <v>262</v>
      </c>
      <c r="T20" s="24" t="s">
        <v>387</v>
      </c>
      <c r="U20" s="23" t="s">
        <v>96</v>
      </c>
      <c r="V20" s="23" t="s">
        <v>97</v>
      </c>
      <c r="W20" s="23" t="s">
        <v>98</v>
      </c>
      <c r="X20" s="23" t="s">
        <v>99</v>
      </c>
      <c r="Y20" s="24" t="s">
        <v>388</v>
      </c>
      <c r="Z20" s="23" t="s">
        <v>101</v>
      </c>
      <c r="AA20" s="23" t="s">
        <v>182</v>
      </c>
      <c r="AB20" s="24" t="s">
        <v>389</v>
      </c>
      <c r="AC20" s="23" t="s">
        <v>104</v>
      </c>
      <c r="AD20" s="23" t="s">
        <v>127</v>
      </c>
      <c r="AE20" s="24" t="s">
        <v>390</v>
      </c>
      <c r="AF20" s="23" t="s">
        <v>391</v>
      </c>
      <c r="AG20" s="23" t="s">
        <v>392</v>
      </c>
      <c r="AH20" s="24"/>
      <c r="AI20" s="23"/>
      <c r="AJ20" s="24" t="s">
        <v>248</v>
      </c>
      <c r="AK20" s="23" t="s">
        <v>110</v>
      </c>
      <c r="AL20" s="23" t="s">
        <v>111</v>
      </c>
      <c r="AM20" s="23" t="s">
        <v>263</v>
      </c>
    </row>
    <row r="21" spans="1:39" ht="28.8" x14ac:dyDescent="0.3">
      <c r="A21" s="23" t="s">
        <v>393</v>
      </c>
      <c r="B21" s="23" t="s">
        <v>394</v>
      </c>
      <c r="C21" s="23" t="s">
        <v>81</v>
      </c>
      <c r="D21" s="23" t="s">
        <v>395</v>
      </c>
      <c r="E21" s="23" t="s">
        <v>396</v>
      </c>
      <c r="F21" s="23" t="s">
        <v>397</v>
      </c>
      <c r="G21" s="23" t="s">
        <v>398</v>
      </c>
      <c r="H21" s="23" t="s">
        <v>399</v>
      </c>
      <c r="I21" s="23" t="s">
        <v>87</v>
      </c>
      <c r="J21" s="23" t="s">
        <v>175</v>
      </c>
      <c r="K21" s="23" t="s">
        <v>399</v>
      </c>
      <c r="L21" s="23" t="s">
        <v>89</v>
      </c>
      <c r="M21" s="23" t="s">
        <v>136</v>
      </c>
      <c r="N21" s="24" t="s">
        <v>400</v>
      </c>
      <c r="O21" s="25">
        <v>2451000</v>
      </c>
      <c r="P21" s="23" t="s">
        <v>92</v>
      </c>
      <c r="Q21" s="24" t="s">
        <v>400</v>
      </c>
      <c r="R21" s="24" t="s">
        <v>401</v>
      </c>
      <c r="S21" s="24" t="s">
        <v>402</v>
      </c>
      <c r="T21" s="24" t="s">
        <v>403</v>
      </c>
      <c r="U21" s="23" t="s">
        <v>96</v>
      </c>
      <c r="V21" s="23" t="s">
        <v>404</v>
      </c>
      <c r="W21" s="23" t="s">
        <v>98</v>
      </c>
      <c r="X21" s="23" t="s">
        <v>99</v>
      </c>
      <c r="Y21" s="24" t="s">
        <v>361</v>
      </c>
      <c r="Z21" s="23" t="s">
        <v>101</v>
      </c>
      <c r="AA21" s="23" t="s">
        <v>125</v>
      </c>
      <c r="AB21" s="24" t="s">
        <v>405</v>
      </c>
      <c r="AC21" s="23" t="s">
        <v>104</v>
      </c>
      <c r="AD21" s="23" t="s">
        <v>105</v>
      </c>
      <c r="AE21" s="24" t="s">
        <v>406</v>
      </c>
      <c r="AF21" s="23" t="s">
        <v>407</v>
      </c>
      <c r="AG21" s="23" t="s">
        <v>408</v>
      </c>
      <c r="AH21" s="24"/>
      <c r="AI21" s="23"/>
      <c r="AJ21" s="24" t="s">
        <v>142</v>
      </c>
      <c r="AK21" s="23" t="s">
        <v>110</v>
      </c>
      <c r="AL21" s="23" t="s">
        <v>147</v>
      </c>
      <c r="AM21" s="23" t="s">
        <v>409</v>
      </c>
    </row>
    <row r="22" spans="1:39" ht="28.8" x14ac:dyDescent="0.3">
      <c r="A22" s="23" t="s">
        <v>410</v>
      </c>
      <c r="B22" s="23" t="s">
        <v>394</v>
      </c>
      <c r="C22" s="23" t="s">
        <v>81</v>
      </c>
      <c r="D22" s="23" t="s">
        <v>380</v>
      </c>
      <c r="E22" s="23" t="s">
        <v>396</v>
      </c>
      <c r="F22" s="23" t="s">
        <v>411</v>
      </c>
      <c r="G22" s="23" t="s">
        <v>412</v>
      </c>
      <c r="H22" s="23" t="s">
        <v>413</v>
      </c>
      <c r="I22" s="23" t="s">
        <v>87</v>
      </c>
      <c r="J22" s="23" t="s">
        <v>175</v>
      </c>
      <c r="K22" s="23" t="s">
        <v>413</v>
      </c>
      <c r="L22" s="23" t="s">
        <v>89</v>
      </c>
      <c r="M22" s="23" t="s">
        <v>283</v>
      </c>
      <c r="N22" s="24" t="s">
        <v>414</v>
      </c>
      <c r="O22" s="25">
        <v>2451000</v>
      </c>
      <c r="P22" s="23" t="s">
        <v>120</v>
      </c>
      <c r="Q22" s="24" t="s">
        <v>414</v>
      </c>
      <c r="R22" s="24" t="s">
        <v>415</v>
      </c>
      <c r="S22" s="24" t="s">
        <v>416</v>
      </c>
      <c r="T22" s="24" t="s">
        <v>417</v>
      </c>
      <c r="U22" s="23" t="s">
        <v>96</v>
      </c>
      <c r="V22" s="23" t="s">
        <v>404</v>
      </c>
      <c r="W22" s="23" t="s">
        <v>98</v>
      </c>
      <c r="X22" s="23" t="s">
        <v>99</v>
      </c>
      <c r="Y22" s="24" t="s">
        <v>418</v>
      </c>
      <c r="Z22" s="23" t="s">
        <v>101</v>
      </c>
      <c r="AA22" s="23" t="s">
        <v>162</v>
      </c>
      <c r="AB22" s="24" t="s">
        <v>419</v>
      </c>
      <c r="AC22" s="23" t="s">
        <v>104</v>
      </c>
      <c r="AD22" s="23" t="s">
        <v>105</v>
      </c>
      <c r="AE22" s="24" t="s">
        <v>420</v>
      </c>
      <c r="AF22" s="23" t="s">
        <v>421</v>
      </c>
      <c r="AG22" s="23" t="s">
        <v>422</v>
      </c>
      <c r="AH22" s="24"/>
      <c r="AI22" s="23"/>
      <c r="AJ22" s="24" t="s">
        <v>187</v>
      </c>
      <c r="AK22" s="23" t="s">
        <v>110</v>
      </c>
      <c r="AL22" s="23" t="s">
        <v>168</v>
      </c>
      <c r="AM22" s="23" t="s">
        <v>409</v>
      </c>
    </row>
    <row r="23" spans="1:39" ht="28.8" x14ac:dyDescent="0.3">
      <c r="A23" s="23" t="s">
        <v>423</v>
      </c>
      <c r="B23" s="23" t="s">
        <v>394</v>
      </c>
      <c r="C23" s="23" t="s">
        <v>81</v>
      </c>
      <c r="D23" s="23" t="s">
        <v>395</v>
      </c>
      <c r="E23" s="23" t="s">
        <v>396</v>
      </c>
      <c r="F23" s="23" t="s">
        <v>424</v>
      </c>
      <c r="G23" s="23" t="s">
        <v>425</v>
      </c>
      <c r="H23" s="23" t="s">
        <v>426</v>
      </c>
      <c r="I23" s="23" t="s">
        <v>87</v>
      </c>
      <c r="J23" s="23" t="s">
        <v>88</v>
      </c>
      <c r="K23" s="23" t="s">
        <v>426</v>
      </c>
      <c r="L23" s="23" t="s">
        <v>89</v>
      </c>
      <c r="M23" s="23" t="s">
        <v>136</v>
      </c>
      <c r="N23" s="24" t="s">
        <v>427</v>
      </c>
      <c r="O23" s="25">
        <v>1778000</v>
      </c>
      <c r="P23" s="23" t="s">
        <v>269</v>
      </c>
      <c r="Q23" s="24" t="s">
        <v>427</v>
      </c>
      <c r="R23" s="24" t="s">
        <v>428</v>
      </c>
      <c r="S23" s="24" t="s">
        <v>429</v>
      </c>
      <c r="T23" s="24" t="s">
        <v>430</v>
      </c>
      <c r="U23" s="23" t="s">
        <v>96</v>
      </c>
      <c r="V23" s="23" t="s">
        <v>404</v>
      </c>
      <c r="W23" s="23" t="s">
        <v>98</v>
      </c>
      <c r="X23" s="23" t="s">
        <v>99</v>
      </c>
      <c r="Y23" s="24" t="s">
        <v>214</v>
      </c>
      <c r="Z23" s="23" t="s">
        <v>101</v>
      </c>
      <c r="AA23" s="23" t="s">
        <v>125</v>
      </c>
      <c r="AB23" s="24" t="s">
        <v>431</v>
      </c>
      <c r="AC23" s="23" t="s">
        <v>104</v>
      </c>
      <c r="AD23" s="23" t="s">
        <v>105</v>
      </c>
      <c r="AE23" s="24" t="s">
        <v>432</v>
      </c>
      <c r="AF23" s="23" t="s">
        <v>433</v>
      </c>
      <c r="AG23" s="23" t="s">
        <v>434</v>
      </c>
      <c r="AH23" s="24"/>
      <c r="AI23" s="23"/>
      <c r="AJ23" s="24" t="s">
        <v>303</v>
      </c>
      <c r="AK23" s="23" t="s">
        <v>110</v>
      </c>
      <c r="AL23" s="23" t="s">
        <v>111</v>
      </c>
      <c r="AM23" s="23" t="s">
        <v>409</v>
      </c>
    </row>
    <row r="24" spans="1:39" ht="28.8" x14ac:dyDescent="0.3">
      <c r="A24" s="23" t="s">
        <v>435</v>
      </c>
      <c r="B24" s="23" t="s">
        <v>394</v>
      </c>
      <c r="C24" s="23" t="s">
        <v>81</v>
      </c>
      <c r="D24" s="23" t="s">
        <v>352</v>
      </c>
      <c r="E24" s="23" t="s">
        <v>396</v>
      </c>
      <c r="F24" s="23" t="s">
        <v>436</v>
      </c>
      <c r="G24" s="23" t="s">
        <v>437</v>
      </c>
      <c r="H24" s="23" t="s">
        <v>438</v>
      </c>
      <c r="I24" s="23" t="s">
        <v>87</v>
      </c>
      <c r="J24" s="23" t="s">
        <v>88</v>
      </c>
      <c r="K24" s="23" t="s">
        <v>438</v>
      </c>
      <c r="L24" s="23" t="s">
        <v>89</v>
      </c>
      <c r="M24" s="23" t="s">
        <v>283</v>
      </c>
      <c r="N24" s="24" t="s">
        <v>439</v>
      </c>
      <c r="O24" s="25">
        <v>2451000</v>
      </c>
      <c r="P24" s="23" t="s">
        <v>177</v>
      </c>
      <c r="Q24" s="24" t="s">
        <v>439</v>
      </c>
      <c r="R24" s="24" t="s">
        <v>440</v>
      </c>
      <c r="S24" s="24" t="s">
        <v>160</v>
      </c>
      <c r="T24" s="24" t="s">
        <v>441</v>
      </c>
      <c r="U24" s="23" t="s">
        <v>96</v>
      </c>
      <c r="V24" s="23" t="s">
        <v>404</v>
      </c>
      <c r="W24" s="23" t="s">
        <v>98</v>
      </c>
      <c r="X24" s="23" t="s">
        <v>99</v>
      </c>
      <c r="Y24" s="24" t="s">
        <v>361</v>
      </c>
      <c r="Z24" s="23" t="s">
        <v>101</v>
      </c>
      <c r="AA24" s="23" t="s">
        <v>102</v>
      </c>
      <c r="AB24" s="24" t="s">
        <v>442</v>
      </c>
      <c r="AC24" s="23" t="s">
        <v>104</v>
      </c>
      <c r="AD24" s="23" t="s">
        <v>105</v>
      </c>
      <c r="AE24" s="24" t="s">
        <v>443</v>
      </c>
      <c r="AF24" s="23" t="s">
        <v>444</v>
      </c>
      <c r="AG24" s="23" t="s">
        <v>445</v>
      </c>
      <c r="AH24" s="24"/>
      <c r="AI24" s="23"/>
      <c r="AJ24" s="24" t="s">
        <v>446</v>
      </c>
      <c r="AK24" s="23" t="s">
        <v>110</v>
      </c>
      <c r="AL24" s="23" t="s">
        <v>147</v>
      </c>
      <c r="AM24" s="23" t="s">
        <v>409</v>
      </c>
    </row>
    <row r="25" spans="1:39" ht="28.8" x14ac:dyDescent="0.3">
      <c r="A25" s="23" t="s">
        <v>447</v>
      </c>
      <c r="B25" s="23" t="s">
        <v>394</v>
      </c>
      <c r="C25" s="23" t="s">
        <v>81</v>
      </c>
      <c r="D25" s="23" t="s">
        <v>82</v>
      </c>
      <c r="E25" s="23" t="s">
        <v>396</v>
      </c>
      <c r="F25" s="23" t="s">
        <v>448</v>
      </c>
      <c r="G25" s="23" t="s">
        <v>449</v>
      </c>
      <c r="H25" s="23" t="s">
        <v>450</v>
      </c>
      <c r="I25" s="23" t="s">
        <v>87</v>
      </c>
      <c r="J25" s="23" t="s">
        <v>88</v>
      </c>
      <c r="K25" s="23" t="s">
        <v>450</v>
      </c>
      <c r="L25" s="23" t="s">
        <v>89</v>
      </c>
      <c r="M25" s="23" t="s">
        <v>136</v>
      </c>
      <c r="N25" s="24" t="s">
        <v>451</v>
      </c>
      <c r="O25" s="25">
        <v>2005000</v>
      </c>
      <c r="P25" s="23" t="s">
        <v>194</v>
      </c>
      <c r="Q25" s="24" t="s">
        <v>451</v>
      </c>
      <c r="R25" s="24" t="s">
        <v>452</v>
      </c>
      <c r="S25" s="24" t="s">
        <v>453</v>
      </c>
      <c r="T25" s="24" t="s">
        <v>243</v>
      </c>
      <c r="U25" s="23" t="s">
        <v>96</v>
      </c>
      <c r="V25" s="23" t="s">
        <v>404</v>
      </c>
      <c r="W25" s="23" t="s">
        <v>98</v>
      </c>
      <c r="X25" s="23" t="s">
        <v>99</v>
      </c>
      <c r="Y25" s="24" t="s">
        <v>181</v>
      </c>
      <c r="Z25" s="23" t="s">
        <v>101</v>
      </c>
      <c r="AA25" s="23" t="s">
        <v>162</v>
      </c>
      <c r="AB25" s="24" t="s">
        <v>454</v>
      </c>
      <c r="AC25" s="23" t="s">
        <v>104</v>
      </c>
      <c r="AD25" s="23" t="s">
        <v>105</v>
      </c>
      <c r="AE25" s="24" t="s">
        <v>455</v>
      </c>
      <c r="AF25" s="23" t="s">
        <v>456</v>
      </c>
      <c r="AG25" s="23" t="s">
        <v>457</v>
      </c>
      <c r="AH25" s="24"/>
      <c r="AI25" s="23"/>
      <c r="AJ25" s="24" t="s">
        <v>142</v>
      </c>
      <c r="AK25" s="23" t="s">
        <v>110</v>
      </c>
      <c r="AL25" s="23" t="s">
        <v>147</v>
      </c>
      <c r="AM25" s="23" t="s">
        <v>409</v>
      </c>
    </row>
    <row r="26" spans="1:39" ht="28.8" x14ac:dyDescent="0.3">
      <c r="A26" s="23" t="s">
        <v>458</v>
      </c>
      <c r="B26" s="23" t="s">
        <v>394</v>
      </c>
      <c r="C26" s="23" t="s">
        <v>81</v>
      </c>
      <c r="D26" s="23" t="s">
        <v>352</v>
      </c>
      <c r="E26" s="23" t="s">
        <v>396</v>
      </c>
      <c r="F26" s="23" t="s">
        <v>459</v>
      </c>
      <c r="G26" s="23" t="s">
        <v>460</v>
      </c>
      <c r="H26" s="23" t="s">
        <v>461</v>
      </c>
      <c r="I26" s="23" t="s">
        <v>87</v>
      </c>
      <c r="J26" s="23" t="s">
        <v>175</v>
      </c>
      <c r="K26" s="23" t="s">
        <v>461</v>
      </c>
      <c r="L26" s="23" t="s">
        <v>89</v>
      </c>
      <c r="M26" s="23" t="s">
        <v>283</v>
      </c>
      <c r="N26" s="24" t="s">
        <v>141</v>
      </c>
      <c r="O26" s="25">
        <v>2650000</v>
      </c>
      <c r="P26" s="23" t="s">
        <v>269</v>
      </c>
      <c r="Q26" s="24" t="s">
        <v>141</v>
      </c>
      <c r="R26" s="24" t="s">
        <v>462</v>
      </c>
      <c r="S26" s="24" t="s">
        <v>418</v>
      </c>
      <c r="T26" s="24" t="s">
        <v>463</v>
      </c>
      <c r="U26" s="23" t="s">
        <v>96</v>
      </c>
      <c r="V26" s="23" t="s">
        <v>404</v>
      </c>
      <c r="W26" s="23" t="s">
        <v>98</v>
      </c>
      <c r="X26" s="23" t="s">
        <v>99</v>
      </c>
      <c r="Y26" s="24" t="s">
        <v>388</v>
      </c>
      <c r="Z26" s="23" t="s">
        <v>101</v>
      </c>
      <c r="AA26" s="23" t="s">
        <v>162</v>
      </c>
      <c r="AB26" s="24" t="s">
        <v>464</v>
      </c>
      <c r="AC26" s="23" t="s">
        <v>104</v>
      </c>
      <c r="AD26" s="23" t="s">
        <v>105</v>
      </c>
      <c r="AE26" s="24" t="s">
        <v>465</v>
      </c>
      <c r="AF26" s="23" t="s">
        <v>466</v>
      </c>
      <c r="AG26" s="23" t="s">
        <v>467</v>
      </c>
      <c r="AH26" s="24"/>
      <c r="AI26" s="23"/>
      <c r="AJ26" s="24" t="s">
        <v>468</v>
      </c>
      <c r="AK26" s="23" t="s">
        <v>110</v>
      </c>
      <c r="AL26" s="23" t="s">
        <v>168</v>
      </c>
      <c r="AM26" s="23" t="s">
        <v>409</v>
      </c>
    </row>
    <row r="27" spans="1:39" ht="43.2" x14ac:dyDescent="0.3">
      <c r="A27" s="23" t="s">
        <v>469</v>
      </c>
      <c r="B27" s="23" t="s">
        <v>470</v>
      </c>
      <c r="C27" s="23" t="s">
        <v>471</v>
      </c>
      <c r="D27" s="23" t="s">
        <v>380</v>
      </c>
      <c r="E27" s="23" t="s">
        <v>472</v>
      </c>
      <c r="F27" s="23" t="s">
        <v>473</v>
      </c>
      <c r="G27" s="23" t="s">
        <v>474</v>
      </c>
      <c r="H27" s="23" t="s">
        <v>475</v>
      </c>
      <c r="I27" s="23" t="s">
        <v>476</v>
      </c>
      <c r="J27" s="23" t="s">
        <v>477</v>
      </c>
      <c r="K27" s="23" t="s">
        <v>475</v>
      </c>
      <c r="L27" s="23" t="s">
        <v>89</v>
      </c>
      <c r="M27" s="23" t="s">
        <v>136</v>
      </c>
      <c r="N27" s="24" t="s">
        <v>478</v>
      </c>
      <c r="O27" s="25">
        <v>4500000</v>
      </c>
      <c r="P27" s="23" t="s">
        <v>479</v>
      </c>
      <c r="Q27" s="24" t="s">
        <v>478</v>
      </c>
      <c r="R27" s="24" t="s">
        <v>480</v>
      </c>
      <c r="S27" s="24" t="s">
        <v>418</v>
      </c>
      <c r="T27" s="24" t="s">
        <v>481</v>
      </c>
      <c r="U27" s="23" t="s">
        <v>482</v>
      </c>
      <c r="V27" s="23" t="s">
        <v>483</v>
      </c>
      <c r="W27" s="23"/>
      <c r="X27" s="23"/>
      <c r="Y27" s="24"/>
      <c r="Z27" s="23"/>
      <c r="AA27" s="23"/>
      <c r="AB27" s="24"/>
      <c r="AC27" s="23"/>
      <c r="AD27" s="23"/>
      <c r="AE27" s="24"/>
      <c r="AF27" s="23" t="s">
        <v>484</v>
      </c>
      <c r="AG27" s="23" t="s">
        <v>485</v>
      </c>
      <c r="AH27" s="24"/>
      <c r="AI27" s="23"/>
      <c r="AJ27" s="24" t="s">
        <v>486</v>
      </c>
      <c r="AK27" s="23" t="s">
        <v>110</v>
      </c>
      <c r="AL27" s="23" t="s">
        <v>219</v>
      </c>
      <c r="AM27" s="23"/>
    </row>
    <row r="28" spans="1:39" ht="43.2" x14ac:dyDescent="0.3">
      <c r="A28" s="23" t="s">
        <v>487</v>
      </c>
      <c r="B28" s="23" t="s">
        <v>470</v>
      </c>
      <c r="C28" s="23" t="s">
        <v>471</v>
      </c>
      <c r="D28" s="23" t="s">
        <v>82</v>
      </c>
      <c r="E28" s="23" t="s">
        <v>488</v>
      </c>
      <c r="F28" s="23" t="s">
        <v>489</v>
      </c>
      <c r="G28" s="23" t="s">
        <v>490</v>
      </c>
      <c r="H28" s="23" t="s">
        <v>475</v>
      </c>
      <c r="I28" s="23" t="s">
        <v>476</v>
      </c>
      <c r="J28" s="23" t="s">
        <v>477</v>
      </c>
      <c r="K28" s="23" t="s">
        <v>475</v>
      </c>
      <c r="L28" s="23" t="s">
        <v>89</v>
      </c>
      <c r="M28" s="23" t="s">
        <v>90</v>
      </c>
      <c r="N28" s="24" t="s">
        <v>491</v>
      </c>
      <c r="O28" s="25">
        <v>3800000</v>
      </c>
      <c r="P28" s="23" t="s">
        <v>120</v>
      </c>
      <c r="Q28" s="24" t="s">
        <v>491</v>
      </c>
      <c r="R28" s="24" t="s">
        <v>492</v>
      </c>
      <c r="S28" s="24" t="s">
        <v>361</v>
      </c>
      <c r="T28" s="24" t="s">
        <v>493</v>
      </c>
      <c r="U28" s="23" t="s">
        <v>482</v>
      </c>
      <c r="V28" s="23" t="s">
        <v>483</v>
      </c>
      <c r="W28" s="23"/>
      <c r="X28" s="23"/>
      <c r="Y28" s="24"/>
      <c r="Z28" s="23"/>
      <c r="AA28" s="23"/>
      <c r="AB28" s="24"/>
      <c r="AC28" s="23"/>
      <c r="AD28" s="23"/>
      <c r="AE28" s="24"/>
      <c r="AF28" s="23" t="s">
        <v>494</v>
      </c>
      <c r="AG28" s="23" t="s">
        <v>495</v>
      </c>
      <c r="AH28" s="24"/>
      <c r="AI28" s="23"/>
      <c r="AJ28" s="24" t="s">
        <v>496</v>
      </c>
      <c r="AK28" s="23" t="s">
        <v>110</v>
      </c>
      <c r="AL28" s="23" t="s">
        <v>168</v>
      </c>
      <c r="AM28" s="23"/>
    </row>
    <row r="29" spans="1:39" ht="28.8" x14ac:dyDescent="0.3">
      <c r="A29" s="23" t="s">
        <v>497</v>
      </c>
      <c r="B29" s="23" t="s">
        <v>498</v>
      </c>
      <c r="C29" s="23" t="s">
        <v>499</v>
      </c>
      <c r="D29" s="23" t="s">
        <v>82</v>
      </c>
      <c r="E29" s="23" t="s">
        <v>500</v>
      </c>
      <c r="F29" s="23" t="s">
        <v>501</v>
      </c>
      <c r="G29" s="23" t="s">
        <v>502</v>
      </c>
      <c r="H29" s="23" t="s">
        <v>503</v>
      </c>
      <c r="I29" s="23" t="s">
        <v>154</v>
      </c>
      <c r="J29" s="23" t="s">
        <v>175</v>
      </c>
      <c r="K29" s="23" t="s">
        <v>503</v>
      </c>
      <c r="L29" s="23" t="s">
        <v>89</v>
      </c>
      <c r="M29" s="23" t="s">
        <v>136</v>
      </c>
      <c r="N29" s="24" t="s">
        <v>504</v>
      </c>
      <c r="O29" s="25">
        <v>450000</v>
      </c>
      <c r="P29" s="23" t="s">
        <v>269</v>
      </c>
      <c r="Q29" s="24" t="s">
        <v>504</v>
      </c>
      <c r="R29" s="24" t="s">
        <v>505</v>
      </c>
      <c r="S29" s="24" t="s">
        <v>506</v>
      </c>
      <c r="T29" s="24" t="s">
        <v>507</v>
      </c>
      <c r="U29" s="23" t="s">
        <v>96</v>
      </c>
      <c r="V29" s="23" t="s">
        <v>508</v>
      </c>
      <c r="W29" s="23"/>
      <c r="X29" s="23"/>
      <c r="Y29" s="24"/>
      <c r="Z29" s="23"/>
      <c r="AA29" s="23"/>
      <c r="AB29" s="24"/>
      <c r="AC29" s="23"/>
      <c r="AD29" s="23"/>
      <c r="AE29" s="24"/>
      <c r="AF29" s="23" t="s">
        <v>509</v>
      </c>
      <c r="AG29" s="23" t="s">
        <v>510</v>
      </c>
      <c r="AH29" s="24"/>
      <c r="AI29" s="23"/>
      <c r="AJ29" s="24" t="s">
        <v>511</v>
      </c>
      <c r="AK29" s="23" t="s">
        <v>110</v>
      </c>
      <c r="AL29" s="23" t="s">
        <v>219</v>
      </c>
      <c r="AM29" s="23"/>
    </row>
    <row r="30" spans="1:39" ht="28.8" x14ac:dyDescent="0.3">
      <c r="A30" s="23" t="s">
        <v>512</v>
      </c>
      <c r="B30" s="23" t="s">
        <v>498</v>
      </c>
      <c r="C30" s="23" t="s">
        <v>499</v>
      </c>
      <c r="D30" s="23" t="s">
        <v>82</v>
      </c>
      <c r="E30" s="23" t="s">
        <v>513</v>
      </c>
      <c r="F30" s="23" t="s">
        <v>514</v>
      </c>
      <c r="G30" s="23" t="s">
        <v>515</v>
      </c>
      <c r="H30" s="23" t="s">
        <v>503</v>
      </c>
      <c r="I30" s="23" t="s">
        <v>87</v>
      </c>
      <c r="J30" s="23" t="s">
        <v>88</v>
      </c>
      <c r="K30" s="23" t="s">
        <v>503</v>
      </c>
      <c r="L30" s="23" t="s">
        <v>89</v>
      </c>
      <c r="M30" s="23" t="s">
        <v>90</v>
      </c>
      <c r="N30" s="24" t="s">
        <v>516</v>
      </c>
      <c r="O30" s="25">
        <v>1200000</v>
      </c>
      <c r="P30" s="23" t="s">
        <v>210</v>
      </c>
      <c r="Q30" s="24" t="s">
        <v>516</v>
      </c>
      <c r="R30" s="24" t="s">
        <v>517</v>
      </c>
      <c r="S30" s="24" t="s">
        <v>518</v>
      </c>
      <c r="T30" s="24" t="s">
        <v>519</v>
      </c>
      <c r="U30" s="23" t="s">
        <v>96</v>
      </c>
      <c r="V30" s="23" t="s">
        <v>508</v>
      </c>
      <c r="W30" s="23"/>
      <c r="X30" s="23"/>
      <c r="Y30" s="24"/>
      <c r="Z30" s="23"/>
      <c r="AA30" s="23"/>
      <c r="AB30" s="24"/>
      <c r="AC30" s="23"/>
      <c r="AD30" s="23"/>
      <c r="AE30" s="24"/>
      <c r="AF30" s="23" t="s">
        <v>520</v>
      </c>
      <c r="AG30" s="23" t="s">
        <v>521</v>
      </c>
      <c r="AH30" s="24"/>
      <c r="AI30" s="23"/>
      <c r="AJ30" s="24" t="s">
        <v>522</v>
      </c>
      <c r="AK30" s="23" t="s">
        <v>36</v>
      </c>
      <c r="AL30" s="23" t="s">
        <v>147</v>
      </c>
      <c r="AM30" s="23"/>
    </row>
    <row r="31" spans="1:39" ht="28.8" x14ac:dyDescent="0.3">
      <c r="A31" s="23" t="s">
        <v>523</v>
      </c>
      <c r="B31" s="23" t="s">
        <v>498</v>
      </c>
      <c r="C31" s="23" t="s">
        <v>499</v>
      </c>
      <c r="D31" s="23" t="s">
        <v>524</v>
      </c>
      <c r="E31" s="23" t="s">
        <v>525</v>
      </c>
      <c r="F31" s="23" t="s">
        <v>526</v>
      </c>
      <c r="G31" s="23" t="s">
        <v>527</v>
      </c>
      <c r="H31" s="23" t="s">
        <v>503</v>
      </c>
      <c r="I31" s="23" t="s">
        <v>87</v>
      </c>
      <c r="J31" s="23" t="s">
        <v>175</v>
      </c>
      <c r="K31" s="23" t="s">
        <v>503</v>
      </c>
      <c r="L31" s="23" t="s">
        <v>89</v>
      </c>
      <c r="M31" s="23" t="s">
        <v>136</v>
      </c>
      <c r="N31" s="24" t="s">
        <v>528</v>
      </c>
      <c r="O31" s="25">
        <v>980000</v>
      </c>
      <c r="P31" s="23" t="s">
        <v>92</v>
      </c>
      <c r="Q31" s="24" t="s">
        <v>528</v>
      </c>
      <c r="R31" s="24" t="s">
        <v>529</v>
      </c>
      <c r="S31" s="24" t="s">
        <v>530</v>
      </c>
      <c r="T31" s="24" t="s">
        <v>531</v>
      </c>
      <c r="U31" s="23" t="s">
        <v>96</v>
      </c>
      <c r="V31" s="23" t="s">
        <v>508</v>
      </c>
      <c r="W31" s="23"/>
      <c r="X31" s="23"/>
      <c r="Y31" s="24"/>
      <c r="Z31" s="23"/>
      <c r="AA31" s="23"/>
      <c r="AB31" s="24"/>
      <c r="AC31" s="23"/>
      <c r="AD31" s="23"/>
      <c r="AE31" s="24"/>
      <c r="AF31" s="23" t="s">
        <v>532</v>
      </c>
      <c r="AG31" s="23" t="s">
        <v>533</v>
      </c>
      <c r="AH31" s="24"/>
      <c r="AI31" s="23"/>
      <c r="AJ31" s="24" t="s">
        <v>534</v>
      </c>
      <c r="AK31" s="23" t="s">
        <v>110</v>
      </c>
      <c r="AL31" s="23" t="s">
        <v>131</v>
      </c>
      <c r="AM31" s="23"/>
    </row>
    <row r="32" spans="1:39" ht="28.8" x14ac:dyDescent="0.3">
      <c r="A32" s="23" t="s">
        <v>535</v>
      </c>
      <c r="B32" s="23" t="s">
        <v>536</v>
      </c>
      <c r="C32" s="23" t="s">
        <v>537</v>
      </c>
      <c r="D32" s="23" t="s">
        <v>538</v>
      </c>
      <c r="E32" s="23" t="s">
        <v>539</v>
      </c>
      <c r="F32" s="23" t="s">
        <v>540</v>
      </c>
      <c r="G32" s="23" t="s">
        <v>541</v>
      </c>
      <c r="H32" s="23" t="s">
        <v>475</v>
      </c>
      <c r="I32" s="23" t="s">
        <v>476</v>
      </c>
      <c r="J32" s="23" t="s">
        <v>477</v>
      </c>
      <c r="K32" s="23" t="s">
        <v>475</v>
      </c>
      <c r="L32" s="23" t="s">
        <v>89</v>
      </c>
      <c r="M32" s="23" t="s">
        <v>136</v>
      </c>
      <c r="N32" s="24" t="s">
        <v>542</v>
      </c>
      <c r="O32" s="25">
        <v>850000</v>
      </c>
      <c r="P32" s="23" t="s">
        <v>227</v>
      </c>
      <c r="Q32" s="24" t="s">
        <v>542</v>
      </c>
      <c r="R32" s="24" t="s">
        <v>543</v>
      </c>
      <c r="S32" s="24" t="s">
        <v>142</v>
      </c>
      <c r="T32" s="24" t="s">
        <v>544</v>
      </c>
      <c r="U32" s="23" t="s">
        <v>482</v>
      </c>
      <c r="V32" s="23" t="s">
        <v>545</v>
      </c>
      <c r="W32" s="23"/>
      <c r="X32" s="23"/>
      <c r="Y32" s="24"/>
      <c r="Z32" s="23"/>
      <c r="AA32" s="23"/>
      <c r="AB32" s="24"/>
      <c r="AC32" s="23"/>
      <c r="AD32" s="23"/>
      <c r="AE32" s="24"/>
      <c r="AF32" s="23" t="s">
        <v>546</v>
      </c>
      <c r="AG32" s="23" t="s">
        <v>547</v>
      </c>
      <c r="AH32" s="24"/>
      <c r="AI32" s="23"/>
      <c r="AJ32" s="24" t="s">
        <v>548</v>
      </c>
      <c r="AK32" s="23" t="s">
        <v>110</v>
      </c>
      <c r="AL32" s="23" t="s">
        <v>111</v>
      </c>
      <c r="AM32" s="23"/>
    </row>
    <row r="33" spans="1:39" ht="28.8" x14ac:dyDescent="0.3">
      <c r="A33" s="23" t="s">
        <v>549</v>
      </c>
      <c r="B33" s="23" t="s">
        <v>550</v>
      </c>
      <c r="C33" s="23" t="s">
        <v>537</v>
      </c>
      <c r="D33" s="23" t="s">
        <v>538</v>
      </c>
      <c r="E33" s="23" t="s">
        <v>551</v>
      </c>
      <c r="F33" s="23" t="s">
        <v>552</v>
      </c>
      <c r="G33" s="23" t="s">
        <v>553</v>
      </c>
      <c r="H33" s="23" t="s">
        <v>475</v>
      </c>
      <c r="I33" s="23" t="s">
        <v>476</v>
      </c>
      <c r="J33" s="23" t="s">
        <v>477</v>
      </c>
      <c r="K33" s="23" t="s">
        <v>475</v>
      </c>
      <c r="L33" s="23" t="s">
        <v>89</v>
      </c>
      <c r="M33" s="23" t="s">
        <v>136</v>
      </c>
      <c r="N33" s="24" t="s">
        <v>554</v>
      </c>
      <c r="O33" s="25">
        <v>650000</v>
      </c>
      <c r="P33" s="23" t="s">
        <v>138</v>
      </c>
      <c r="Q33" s="24" t="s">
        <v>554</v>
      </c>
      <c r="R33" s="24" t="s">
        <v>555</v>
      </c>
      <c r="S33" s="24" t="s">
        <v>167</v>
      </c>
      <c r="T33" s="24" t="s">
        <v>556</v>
      </c>
      <c r="U33" s="23" t="s">
        <v>96</v>
      </c>
      <c r="V33" s="23" t="s">
        <v>557</v>
      </c>
      <c r="W33" s="23"/>
      <c r="X33" s="23"/>
      <c r="Y33" s="24"/>
      <c r="Z33" s="23"/>
      <c r="AA33" s="23"/>
      <c r="AB33" s="24"/>
      <c r="AC33" s="23"/>
      <c r="AD33" s="23"/>
      <c r="AE33" s="24"/>
      <c r="AF33" s="23" t="s">
        <v>144</v>
      </c>
      <c r="AG33" s="23" t="s">
        <v>558</v>
      </c>
      <c r="AH33" s="24"/>
      <c r="AI33" s="23"/>
      <c r="AJ33" s="24" t="s">
        <v>124</v>
      </c>
      <c r="AK33" s="23" t="s">
        <v>36</v>
      </c>
      <c r="AL33" s="23" t="s">
        <v>147</v>
      </c>
      <c r="AM33" s="23"/>
    </row>
    <row r="34" spans="1:39" ht="28.8" x14ac:dyDescent="0.3">
      <c r="A34" s="23" t="s">
        <v>559</v>
      </c>
      <c r="B34" s="23" t="s">
        <v>550</v>
      </c>
      <c r="C34" s="23" t="s">
        <v>537</v>
      </c>
      <c r="D34" s="23" t="s">
        <v>560</v>
      </c>
      <c r="E34" s="23" t="s">
        <v>561</v>
      </c>
      <c r="F34" s="23" t="s">
        <v>562</v>
      </c>
      <c r="G34" s="23" t="s">
        <v>563</v>
      </c>
      <c r="H34" s="23" t="s">
        <v>475</v>
      </c>
      <c r="I34" s="23" t="s">
        <v>476</v>
      </c>
      <c r="J34" s="23" t="s">
        <v>175</v>
      </c>
      <c r="K34" s="23" t="s">
        <v>475</v>
      </c>
      <c r="L34" s="23" t="s">
        <v>89</v>
      </c>
      <c r="M34" s="23" t="s">
        <v>136</v>
      </c>
      <c r="N34" s="24" t="s">
        <v>564</v>
      </c>
      <c r="O34" s="25">
        <v>120000</v>
      </c>
      <c r="P34" s="23" t="s">
        <v>479</v>
      </c>
      <c r="Q34" s="24" t="s">
        <v>564</v>
      </c>
      <c r="R34" s="24" t="s">
        <v>507</v>
      </c>
      <c r="S34" s="24" t="s">
        <v>187</v>
      </c>
      <c r="T34" s="24" t="s">
        <v>123</v>
      </c>
      <c r="U34" s="23" t="s">
        <v>96</v>
      </c>
      <c r="V34" s="23" t="s">
        <v>557</v>
      </c>
      <c r="W34" s="23"/>
      <c r="X34" s="23"/>
      <c r="Y34" s="24"/>
      <c r="Z34" s="23"/>
      <c r="AA34" s="23"/>
      <c r="AB34" s="24"/>
      <c r="AC34" s="23"/>
      <c r="AD34" s="23"/>
      <c r="AE34" s="24"/>
      <c r="AF34" s="23" t="s">
        <v>260</v>
      </c>
      <c r="AG34" s="23" t="s">
        <v>565</v>
      </c>
      <c r="AH34" s="24"/>
      <c r="AI34" s="23"/>
      <c r="AJ34" s="24" t="s">
        <v>566</v>
      </c>
      <c r="AK34" s="23" t="s">
        <v>110</v>
      </c>
      <c r="AL34" s="23" t="s">
        <v>131</v>
      </c>
      <c r="AM34" s="23"/>
    </row>
    <row r="35" spans="1:39" ht="28.8" x14ac:dyDescent="0.3">
      <c r="A35" s="23" t="s">
        <v>567</v>
      </c>
      <c r="B35" s="23" t="s">
        <v>568</v>
      </c>
      <c r="C35" s="23" t="s">
        <v>537</v>
      </c>
      <c r="D35" s="23" t="s">
        <v>569</v>
      </c>
      <c r="E35" s="23" t="s">
        <v>570</v>
      </c>
      <c r="F35" s="23" t="s">
        <v>571</v>
      </c>
      <c r="G35" s="23" t="s">
        <v>572</v>
      </c>
      <c r="H35" s="23" t="s">
        <v>475</v>
      </c>
      <c r="I35" s="23" t="s">
        <v>476</v>
      </c>
      <c r="J35" s="23" t="s">
        <v>175</v>
      </c>
      <c r="K35" s="23" t="s">
        <v>475</v>
      </c>
      <c r="L35" s="23" t="s">
        <v>89</v>
      </c>
      <c r="M35" s="23" t="s">
        <v>136</v>
      </c>
      <c r="N35" s="24" t="s">
        <v>573</v>
      </c>
      <c r="O35" s="25">
        <v>95000</v>
      </c>
      <c r="P35" s="23" t="s">
        <v>269</v>
      </c>
      <c r="Q35" s="24" t="s">
        <v>573</v>
      </c>
      <c r="R35" s="24" t="s">
        <v>574</v>
      </c>
      <c r="S35" s="24" t="s">
        <v>276</v>
      </c>
      <c r="T35" s="24" t="s">
        <v>575</v>
      </c>
      <c r="U35" s="23" t="s">
        <v>96</v>
      </c>
      <c r="V35" s="23" t="s">
        <v>576</v>
      </c>
      <c r="W35" s="23"/>
      <c r="X35" s="23"/>
      <c r="Y35" s="24"/>
      <c r="Z35" s="23"/>
      <c r="AA35" s="23"/>
      <c r="AB35" s="24"/>
      <c r="AC35" s="23"/>
      <c r="AD35" s="23"/>
      <c r="AE35" s="24"/>
      <c r="AF35" s="23" t="s">
        <v>577</v>
      </c>
      <c r="AG35" s="23" t="s">
        <v>578</v>
      </c>
      <c r="AH35" s="24"/>
      <c r="AI35" s="23"/>
      <c r="AJ35" s="24" t="s">
        <v>579</v>
      </c>
      <c r="AK35" s="23" t="s">
        <v>110</v>
      </c>
      <c r="AL35" s="23" t="s">
        <v>131</v>
      </c>
      <c r="AM35" s="23"/>
    </row>
    <row r="36" spans="1:39" ht="28.8" x14ac:dyDescent="0.3">
      <c r="A36" s="23" t="s">
        <v>580</v>
      </c>
      <c r="B36" s="23" t="s">
        <v>568</v>
      </c>
      <c r="C36" s="23" t="s">
        <v>537</v>
      </c>
      <c r="D36" s="23" t="s">
        <v>569</v>
      </c>
      <c r="E36" s="23" t="s">
        <v>570</v>
      </c>
      <c r="F36" s="23" t="s">
        <v>581</v>
      </c>
      <c r="G36" s="23" t="s">
        <v>582</v>
      </c>
      <c r="H36" s="23" t="s">
        <v>475</v>
      </c>
      <c r="I36" s="23" t="s">
        <v>476</v>
      </c>
      <c r="J36" s="23" t="s">
        <v>88</v>
      </c>
      <c r="K36" s="23" t="s">
        <v>475</v>
      </c>
      <c r="L36" s="23" t="s">
        <v>89</v>
      </c>
      <c r="M36" s="23" t="s">
        <v>136</v>
      </c>
      <c r="N36" s="24" t="s">
        <v>583</v>
      </c>
      <c r="O36" s="25">
        <v>95000</v>
      </c>
      <c r="P36" s="23" t="s">
        <v>299</v>
      </c>
      <c r="Q36" s="24" t="s">
        <v>583</v>
      </c>
      <c r="R36" s="24" t="s">
        <v>584</v>
      </c>
      <c r="S36" s="24" t="s">
        <v>585</v>
      </c>
      <c r="T36" s="24" t="s">
        <v>586</v>
      </c>
      <c r="U36" s="23" t="s">
        <v>96</v>
      </c>
      <c r="V36" s="23" t="s">
        <v>576</v>
      </c>
      <c r="W36" s="23"/>
      <c r="X36" s="23"/>
      <c r="Y36" s="24"/>
      <c r="Z36" s="23"/>
      <c r="AA36" s="23"/>
      <c r="AB36" s="24"/>
      <c r="AC36" s="23"/>
      <c r="AD36" s="23"/>
      <c r="AE36" s="24"/>
      <c r="AF36" s="23" t="s">
        <v>587</v>
      </c>
      <c r="AG36" s="23" t="s">
        <v>588</v>
      </c>
      <c r="AH36" s="24"/>
      <c r="AI36" s="23"/>
      <c r="AJ36" s="24" t="s">
        <v>589</v>
      </c>
      <c r="AK36" s="23" t="s">
        <v>110</v>
      </c>
      <c r="AL36" s="23" t="s">
        <v>111</v>
      </c>
      <c r="AM36" s="23"/>
    </row>
    <row r="37" spans="1:39" ht="28.8" x14ac:dyDescent="0.3">
      <c r="A37" s="23" t="s">
        <v>590</v>
      </c>
      <c r="B37" s="23" t="s">
        <v>591</v>
      </c>
      <c r="C37" s="23" t="s">
        <v>471</v>
      </c>
      <c r="D37" s="23" t="s">
        <v>592</v>
      </c>
      <c r="E37" s="23" t="s">
        <v>593</v>
      </c>
      <c r="F37" s="23" t="s">
        <v>594</v>
      </c>
      <c r="G37" s="23" t="s">
        <v>595</v>
      </c>
      <c r="H37" s="23" t="s">
        <v>475</v>
      </c>
      <c r="I37" s="23" t="s">
        <v>476</v>
      </c>
      <c r="J37" s="23" t="s">
        <v>477</v>
      </c>
      <c r="K37" s="23" t="s">
        <v>475</v>
      </c>
      <c r="L37" s="23" t="s">
        <v>89</v>
      </c>
      <c r="M37" s="23" t="s">
        <v>136</v>
      </c>
      <c r="N37" s="24" t="s">
        <v>596</v>
      </c>
      <c r="O37" s="25">
        <v>380000</v>
      </c>
      <c r="P37" s="23" t="s">
        <v>194</v>
      </c>
      <c r="Q37" s="24" t="s">
        <v>596</v>
      </c>
      <c r="R37" s="24" t="s">
        <v>178</v>
      </c>
      <c r="S37" s="24" t="s">
        <v>597</v>
      </c>
      <c r="T37" s="24" t="s">
        <v>598</v>
      </c>
      <c r="U37" s="23" t="s">
        <v>482</v>
      </c>
      <c r="V37" s="23" t="s">
        <v>599</v>
      </c>
      <c r="W37" s="23"/>
      <c r="X37" s="23"/>
      <c r="Y37" s="24"/>
      <c r="Z37" s="23"/>
      <c r="AA37" s="23"/>
      <c r="AB37" s="24"/>
      <c r="AC37" s="23"/>
      <c r="AD37" s="23"/>
      <c r="AE37" s="24"/>
      <c r="AF37" s="23"/>
      <c r="AG37" s="23"/>
      <c r="AH37" s="24"/>
      <c r="AI37" s="23"/>
      <c r="AJ37" s="24" t="s">
        <v>202</v>
      </c>
      <c r="AK37" s="23" t="s">
        <v>110</v>
      </c>
      <c r="AL37" s="23" t="s">
        <v>111</v>
      </c>
      <c r="AM37" s="23"/>
    </row>
    <row r="38" spans="1:39" ht="28.8" x14ac:dyDescent="0.3">
      <c r="A38" s="23" t="s">
        <v>600</v>
      </c>
      <c r="B38" s="23" t="s">
        <v>591</v>
      </c>
      <c r="C38" s="23" t="s">
        <v>471</v>
      </c>
      <c r="D38" s="23" t="s">
        <v>592</v>
      </c>
      <c r="E38" s="23" t="s">
        <v>601</v>
      </c>
      <c r="F38" s="23" t="s">
        <v>602</v>
      </c>
      <c r="G38" s="23" t="s">
        <v>603</v>
      </c>
      <c r="H38" s="23" t="s">
        <v>503</v>
      </c>
      <c r="I38" s="23" t="s">
        <v>476</v>
      </c>
      <c r="J38" s="23" t="s">
        <v>175</v>
      </c>
      <c r="K38" s="23" t="s">
        <v>475</v>
      </c>
      <c r="L38" s="23" t="s">
        <v>89</v>
      </c>
      <c r="M38" s="23" t="s">
        <v>136</v>
      </c>
      <c r="N38" s="24" t="s">
        <v>604</v>
      </c>
      <c r="O38" s="25">
        <v>180000</v>
      </c>
      <c r="P38" s="23" t="s">
        <v>138</v>
      </c>
      <c r="Q38" s="24" t="s">
        <v>604</v>
      </c>
      <c r="R38" s="24" t="s">
        <v>605</v>
      </c>
      <c r="S38" s="24" t="s">
        <v>481</v>
      </c>
      <c r="T38" s="24" t="s">
        <v>346</v>
      </c>
      <c r="U38" s="23" t="s">
        <v>482</v>
      </c>
      <c r="V38" s="23" t="s">
        <v>599</v>
      </c>
      <c r="W38" s="23"/>
      <c r="X38" s="23"/>
      <c r="Y38" s="24"/>
      <c r="Z38" s="23"/>
      <c r="AA38" s="23"/>
      <c r="AB38" s="24"/>
      <c r="AC38" s="23"/>
      <c r="AD38" s="23"/>
      <c r="AE38" s="24"/>
      <c r="AF38" s="23"/>
      <c r="AG38" s="23"/>
      <c r="AH38" s="24"/>
      <c r="AI38" s="23"/>
      <c r="AJ38" s="24" t="s">
        <v>160</v>
      </c>
      <c r="AK38" s="23" t="s">
        <v>110</v>
      </c>
      <c r="AL38" s="23" t="s">
        <v>111</v>
      </c>
      <c r="AM38" s="23"/>
    </row>
    <row r="39" spans="1:39" ht="28.8" x14ac:dyDescent="0.3">
      <c r="A39" s="23" t="s">
        <v>606</v>
      </c>
      <c r="B39" s="23" t="s">
        <v>607</v>
      </c>
      <c r="C39" s="23" t="s">
        <v>608</v>
      </c>
      <c r="D39" s="23" t="s">
        <v>380</v>
      </c>
      <c r="E39" s="23" t="s">
        <v>609</v>
      </c>
      <c r="F39" s="23" t="s">
        <v>610</v>
      </c>
      <c r="G39" s="23" t="s">
        <v>611</v>
      </c>
      <c r="H39" s="23" t="s">
        <v>86</v>
      </c>
      <c r="I39" s="23" t="s">
        <v>87</v>
      </c>
      <c r="J39" s="23" t="s">
        <v>88</v>
      </c>
      <c r="K39" s="23" t="s">
        <v>86</v>
      </c>
      <c r="L39" s="23" t="s">
        <v>89</v>
      </c>
      <c r="M39" s="23" t="s">
        <v>136</v>
      </c>
      <c r="N39" s="24" t="s">
        <v>612</v>
      </c>
      <c r="O39" s="25">
        <v>420000</v>
      </c>
      <c r="P39" s="23" t="s">
        <v>479</v>
      </c>
      <c r="Q39" s="24" t="s">
        <v>612</v>
      </c>
      <c r="R39" s="24" t="s">
        <v>468</v>
      </c>
      <c r="S39" s="24" t="s">
        <v>613</v>
      </c>
      <c r="T39" s="24" t="s">
        <v>614</v>
      </c>
      <c r="U39" s="23" t="s">
        <v>615</v>
      </c>
      <c r="V39" s="23" t="s">
        <v>616</v>
      </c>
      <c r="W39" s="23"/>
      <c r="X39" s="23"/>
      <c r="Y39" s="24"/>
      <c r="Z39" s="23"/>
      <c r="AA39" s="23"/>
      <c r="AB39" s="24"/>
      <c r="AC39" s="23"/>
      <c r="AD39" s="23"/>
      <c r="AE39" s="24"/>
      <c r="AF39" s="23"/>
      <c r="AG39" s="23"/>
      <c r="AH39" s="24"/>
      <c r="AI39" s="23"/>
      <c r="AJ39" s="24" t="s">
        <v>617</v>
      </c>
      <c r="AK39" s="23" t="s">
        <v>110</v>
      </c>
      <c r="AL39" s="23" t="s">
        <v>131</v>
      </c>
      <c r="AM39" s="23"/>
    </row>
    <row r="40" spans="1:39" ht="28.8" x14ac:dyDescent="0.3">
      <c r="A40" s="23" t="s">
        <v>618</v>
      </c>
      <c r="B40" s="23" t="s">
        <v>607</v>
      </c>
      <c r="C40" s="23" t="s">
        <v>608</v>
      </c>
      <c r="D40" s="23" t="s">
        <v>619</v>
      </c>
      <c r="E40" s="23" t="s">
        <v>620</v>
      </c>
      <c r="F40" s="23" t="s">
        <v>621</v>
      </c>
      <c r="G40" s="23" t="s">
        <v>622</v>
      </c>
      <c r="H40" s="23" t="s">
        <v>153</v>
      </c>
      <c r="I40" s="23" t="s">
        <v>154</v>
      </c>
      <c r="J40" s="23" t="s">
        <v>175</v>
      </c>
      <c r="K40" s="23" t="s">
        <v>153</v>
      </c>
      <c r="L40" s="23" t="s">
        <v>89</v>
      </c>
      <c r="M40" s="23" t="s">
        <v>136</v>
      </c>
      <c r="N40" s="24" t="s">
        <v>623</v>
      </c>
      <c r="O40" s="25">
        <v>180000</v>
      </c>
      <c r="P40" s="23" t="s">
        <v>299</v>
      </c>
      <c r="Q40" s="24" t="s">
        <v>623</v>
      </c>
      <c r="R40" s="24" t="s">
        <v>624</v>
      </c>
      <c r="S40" s="24" t="s">
        <v>625</v>
      </c>
      <c r="T40" s="24" t="s">
        <v>626</v>
      </c>
      <c r="U40" s="23" t="s">
        <v>615</v>
      </c>
      <c r="V40" s="23" t="s">
        <v>616</v>
      </c>
      <c r="W40" s="23"/>
      <c r="X40" s="23"/>
      <c r="Y40" s="24"/>
      <c r="Z40" s="23"/>
      <c r="AA40" s="23"/>
      <c r="AB40" s="24"/>
      <c r="AC40" s="23"/>
      <c r="AD40" s="23"/>
      <c r="AE40" s="24"/>
      <c r="AF40" s="23"/>
      <c r="AG40" s="23"/>
      <c r="AH40" s="24"/>
      <c r="AI40" s="23"/>
      <c r="AJ40" s="24" t="s">
        <v>496</v>
      </c>
      <c r="AK40" s="23" t="s">
        <v>36</v>
      </c>
      <c r="AL40" s="23" t="s">
        <v>147</v>
      </c>
      <c r="AM40" s="23"/>
    </row>
    <row r="41" spans="1:39" ht="28.8" x14ac:dyDescent="0.3">
      <c r="A41" s="23" t="s">
        <v>627</v>
      </c>
      <c r="B41" s="23" t="s">
        <v>628</v>
      </c>
      <c r="C41" s="23" t="s">
        <v>629</v>
      </c>
      <c r="D41" s="23" t="s">
        <v>630</v>
      </c>
      <c r="E41" s="23" t="s">
        <v>631</v>
      </c>
      <c r="F41" s="23" t="s">
        <v>632</v>
      </c>
      <c r="G41" s="23" t="s">
        <v>633</v>
      </c>
      <c r="H41" s="23" t="s">
        <v>475</v>
      </c>
      <c r="I41" s="23" t="s">
        <v>476</v>
      </c>
      <c r="J41" s="23" t="s">
        <v>477</v>
      </c>
      <c r="K41" s="23" t="s">
        <v>475</v>
      </c>
      <c r="L41" s="23" t="s">
        <v>89</v>
      </c>
      <c r="M41" s="23" t="s">
        <v>136</v>
      </c>
      <c r="N41" s="24" t="s">
        <v>634</v>
      </c>
      <c r="O41" s="25">
        <v>750000</v>
      </c>
      <c r="P41" s="23" t="s">
        <v>299</v>
      </c>
      <c r="Q41" s="24" t="s">
        <v>634</v>
      </c>
      <c r="R41" s="24" t="s">
        <v>305</v>
      </c>
      <c r="S41" s="24" t="s">
        <v>276</v>
      </c>
      <c r="T41" s="24" t="s">
        <v>544</v>
      </c>
      <c r="U41" s="23" t="s">
        <v>482</v>
      </c>
      <c r="V41" s="23" t="s">
        <v>635</v>
      </c>
      <c r="W41" s="23"/>
      <c r="X41" s="23"/>
      <c r="Y41" s="24"/>
      <c r="Z41" s="23"/>
      <c r="AA41" s="23"/>
      <c r="AB41" s="24"/>
      <c r="AC41" s="23"/>
      <c r="AD41" s="23"/>
      <c r="AE41" s="24"/>
      <c r="AF41" s="23" t="s">
        <v>407</v>
      </c>
      <c r="AG41" s="23" t="s">
        <v>636</v>
      </c>
      <c r="AH41" s="24"/>
      <c r="AI41" s="23"/>
      <c r="AJ41" s="24" t="s">
        <v>637</v>
      </c>
      <c r="AK41" s="23" t="s">
        <v>110</v>
      </c>
      <c r="AL41" s="23" t="s">
        <v>168</v>
      </c>
      <c r="AM41" s="23"/>
    </row>
    <row r="42" spans="1:39" ht="28.8" x14ac:dyDescent="0.3">
      <c r="A42" s="23" t="s">
        <v>638</v>
      </c>
      <c r="B42" s="23" t="s">
        <v>639</v>
      </c>
      <c r="C42" s="23" t="s">
        <v>640</v>
      </c>
      <c r="D42" s="23" t="s">
        <v>524</v>
      </c>
      <c r="E42" s="23" t="s">
        <v>641</v>
      </c>
      <c r="F42" s="23" t="s">
        <v>642</v>
      </c>
      <c r="G42" s="23" t="s">
        <v>643</v>
      </c>
      <c r="H42" s="23" t="s">
        <v>503</v>
      </c>
      <c r="I42" s="23" t="s">
        <v>154</v>
      </c>
      <c r="J42" s="23" t="s">
        <v>644</v>
      </c>
      <c r="K42" s="23" t="s">
        <v>503</v>
      </c>
      <c r="L42" s="23" t="s">
        <v>89</v>
      </c>
      <c r="M42" s="23" t="s">
        <v>136</v>
      </c>
      <c r="N42" s="24" t="s">
        <v>645</v>
      </c>
      <c r="O42" s="25">
        <v>350000</v>
      </c>
      <c r="P42" s="23" t="s">
        <v>299</v>
      </c>
      <c r="Q42" s="24" t="s">
        <v>645</v>
      </c>
      <c r="R42" s="24" t="s">
        <v>646</v>
      </c>
      <c r="S42" s="24" t="s">
        <v>647</v>
      </c>
      <c r="T42" s="24" t="s">
        <v>163</v>
      </c>
      <c r="U42" s="23" t="s">
        <v>96</v>
      </c>
      <c r="V42" s="23" t="s">
        <v>648</v>
      </c>
      <c r="W42" s="23"/>
      <c r="X42" s="23"/>
      <c r="Y42" s="24"/>
      <c r="Z42" s="23"/>
      <c r="AA42" s="23"/>
      <c r="AB42" s="24"/>
      <c r="AC42" s="23"/>
      <c r="AD42" s="23"/>
      <c r="AE42" s="24"/>
      <c r="AF42" s="23"/>
      <c r="AG42" s="23"/>
      <c r="AH42" s="24"/>
      <c r="AI42" s="23"/>
      <c r="AJ42" s="24" t="s">
        <v>94</v>
      </c>
      <c r="AK42" s="23" t="s">
        <v>110</v>
      </c>
      <c r="AL42" s="23" t="s">
        <v>111</v>
      </c>
      <c r="AM42" s="23"/>
    </row>
    <row r="43" spans="1:39" ht="28.8" x14ac:dyDescent="0.3">
      <c r="A43" s="23" t="s">
        <v>649</v>
      </c>
      <c r="B43" s="23" t="s">
        <v>639</v>
      </c>
      <c r="C43" s="23" t="s">
        <v>640</v>
      </c>
      <c r="D43" s="23" t="s">
        <v>650</v>
      </c>
      <c r="E43" s="23" t="s">
        <v>651</v>
      </c>
      <c r="F43" s="23" t="s">
        <v>652</v>
      </c>
      <c r="G43" s="23" t="s">
        <v>653</v>
      </c>
      <c r="H43" s="23" t="s">
        <v>503</v>
      </c>
      <c r="I43" s="23" t="s">
        <v>154</v>
      </c>
      <c r="J43" s="23" t="s">
        <v>644</v>
      </c>
      <c r="K43" s="23" t="s">
        <v>503</v>
      </c>
      <c r="L43" s="23" t="s">
        <v>89</v>
      </c>
      <c r="M43" s="23" t="s">
        <v>136</v>
      </c>
      <c r="N43" s="24" t="s">
        <v>654</v>
      </c>
      <c r="O43" s="25">
        <v>420000</v>
      </c>
      <c r="P43" s="23" t="s">
        <v>210</v>
      </c>
      <c r="Q43" s="24" t="s">
        <v>654</v>
      </c>
      <c r="R43" s="24" t="s">
        <v>655</v>
      </c>
      <c r="S43" s="24" t="s">
        <v>656</v>
      </c>
      <c r="T43" s="24" t="s">
        <v>657</v>
      </c>
      <c r="U43" s="23" t="s">
        <v>96</v>
      </c>
      <c r="V43" s="23" t="s">
        <v>648</v>
      </c>
      <c r="W43" s="23"/>
      <c r="X43" s="23"/>
      <c r="Y43" s="24"/>
      <c r="Z43" s="23"/>
      <c r="AA43" s="23"/>
      <c r="AB43" s="24"/>
      <c r="AC43" s="23"/>
      <c r="AD43" s="23"/>
      <c r="AE43" s="24"/>
      <c r="AF43" s="23"/>
      <c r="AG43" s="23"/>
      <c r="AH43" s="24"/>
      <c r="AI43" s="23"/>
      <c r="AJ43" s="24" t="s">
        <v>617</v>
      </c>
      <c r="AK43" s="23" t="s">
        <v>36</v>
      </c>
      <c r="AL43" s="23" t="s">
        <v>131</v>
      </c>
      <c r="AM43" s="23"/>
    </row>
    <row r="44" spans="1:39" ht="28.8" x14ac:dyDescent="0.3">
      <c r="A44" s="23" t="s">
        <v>658</v>
      </c>
      <c r="B44" s="23" t="s">
        <v>659</v>
      </c>
      <c r="C44" s="23" t="s">
        <v>608</v>
      </c>
      <c r="D44" s="23" t="s">
        <v>660</v>
      </c>
      <c r="E44" s="23" t="s">
        <v>661</v>
      </c>
      <c r="F44" s="23" t="s">
        <v>662</v>
      </c>
      <c r="G44" s="23" t="s">
        <v>663</v>
      </c>
      <c r="H44" s="23" t="s">
        <v>503</v>
      </c>
      <c r="I44" s="23" t="s">
        <v>154</v>
      </c>
      <c r="J44" s="23" t="s">
        <v>175</v>
      </c>
      <c r="K44" s="23" t="s">
        <v>503</v>
      </c>
      <c r="L44" s="23" t="s">
        <v>89</v>
      </c>
      <c r="M44" s="23" t="s">
        <v>136</v>
      </c>
      <c r="N44" s="24" t="s">
        <v>664</v>
      </c>
      <c r="O44" s="25">
        <v>280000</v>
      </c>
      <c r="P44" s="23" t="s">
        <v>210</v>
      </c>
      <c r="Q44" s="24" t="s">
        <v>664</v>
      </c>
      <c r="R44" s="24" t="s">
        <v>665</v>
      </c>
      <c r="S44" s="24" t="s">
        <v>124</v>
      </c>
      <c r="T44" s="24" t="s">
        <v>666</v>
      </c>
      <c r="U44" s="23" t="s">
        <v>96</v>
      </c>
      <c r="V44" s="23" t="s">
        <v>667</v>
      </c>
      <c r="W44" s="23"/>
      <c r="X44" s="23"/>
      <c r="Y44" s="24"/>
      <c r="Z44" s="23"/>
      <c r="AA44" s="23"/>
      <c r="AB44" s="24"/>
      <c r="AC44" s="23"/>
      <c r="AD44" s="23"/>
      <c r="AE44" s="24"/>
      <c r="AF44" s="23"/>
      <c r="AG44" s="23"/>
      <c r="AH44" s="24"/>
      <c r="AI44" s="23"/>
      <c r="AJ44" s="24" t="s">
        <v>668</v>
      </c>
      <c r="AK44" s="23" t="s">
        <v>110</v>
      </c>
      <c r="AL44" s="23" t="s">
        <v>168</v>
      </c>
      <c r="AM44" s="23"/>
    </row>
    <row r="45" spans="1:39" ht="28.8" x14ac:dyDescent="0.3">
      <c r="A45" s="23" t="s">
        <v>669</v>
      </c>
      <c r="B45" s="23" t="s">
        <v>670</v>
      </c>
      <c r="C45" s="23" t="s">
        <v>640</v>
      </c>
      <c r="D45" s="23" t="s">
        <v>671</v>
      </c>
      <c r="E45" s="23" t="s">
        <v>672</v>
      </c>
      <c r="F45" s="23" t="s">
        <v>673</v>
      </c>
      <c r="G45" s="23" t="s">
        <v>674</v>
      </c>
      <c r="H45" s="23" t="s">
        <v>675</v>
      </c>
      <c r="I45" s="23" t="s">
        <v>154</v>
      </c>
      <c r="J45" s="23" t="s">
        <v>675</v>
      </c>
      <c r="K45" s="23" t="s">
        <v>675</v>
      </c>
      <c r="L45" s="23" t="s">
        <v>89</v>
      </c>
      <c r="M45" s="23" t="s">
        <v>136</v>
      </c>
      <c r="N45" s="24" t="s">
        <v>676</v>
      </c>
      <c r="O45" s="25">
        <v>85000</v>
      </c>
      <c r="P45" s="23" t="s">
        <v>138</v>
      </c>
      <c r="Q45" s="24" t="s">
        <v>676</v>
      </c>
      <c r="R45" s="24" t="s">
        <v>677</v>
      </c>
      <c r="S45" s="24" t="s">
        <v>579</v>
      </c>
      <c r="T45" s="24" t="s">
        <v>678</v>
      </c>
      <c r="U45" s="23" t="s">
        <v>96</v>
      </c>
      <c r="V45" s="23" t="s">
        <v>679</v>
      </c>
      <c r="W45" s="23"/>
      <c r="X45" s="23"/>
      <c r="Y45" s="24"/>
      <c r="Z45" s="23"/>
      <c r="AA45" s="23"/>
      <c r="AB45" s="24"/>
      <c r="AC45" s="23"/>
      <c r="AD45" s="23"/>
      <c r="AE45" s="24"/>
      <c r="AF45" s="23" t="s">
        <v>680</v>
      </c>
      <c r="AG45" s="23" t="s">
        <v>681</v>
      </c>
      <c r="AH45" s="24"/>
      <c r="AI45" s="23"/>
      <c r="AJ45" s="24" t="s">
        <v>486</v>
      </c>
      <c r="AK45" s="23" t="s">
        <v>110</v>
      </c>
      <c r="AL45" s="23" t="s">
        <v>111</v>
      </c>
      <c r="AM45" s="23"/>
    </row>
    <row r="46" spans="1:39" ht="28.8" x14ac:dyDescent="0.3">
      <c r="A46" s="23" t="s">
        <v>682</v>
      </c>
      <c r="B46" s="23" t="s">
        <v>670</v>
      </c>
      <c r="C46" s="23" t="s">
        <v>640</v>
      </c>
      <c r="D46" s="23" t="s">
        <v>671</v>
      </c>
      <c r="E46" s="23" t="s">
        <v>672</v>
      </c>
      <c r="F46" s="23" t="s">
        <v>683</v>
      </c>
      <c r="G46" s="23" t="s">
        <v>684</v>
      </c>
      <c r="H46" s="23" t="s">
        <v>314</v>
      </c>
      <c r="I46" s="23" t="s">
        <v>315</v>
      </c>
      <c r="J46" s="23" t="s">
        <v>88</v>
      </c>
      <c r="K46" s="23" t="s">
        <v>314</v>
      </c>
      <c r="L46" s="23" t="s">
        <v>89</v>
      </c>
      <c r="M46" s="23" t="s">
        <v>136</v>
      </c>
      <c r="N46" s="24" t="s">
        <v>685</v>
      </c>
      <c r="O46" s="25">
        <v>85000</v>
      </c>
      <c r="P46" s="23" t="s">
        <v>120</v>
      </c>
      <c r="Q46" s="24" t="s">
        <v>685</v>
      </c>
      <c r="R46" s="24" t="s">
        <v>686</v>
      </c>
      <c r="S46" s="24" t="s">
        <v>430</v>
      </c>
      <c r="T46" s="24" t="s">
        <v>390</v>
      </c>
      <c r="U46" s="23" t="s">
        <v>96</v>
      </c>
      <c r="V46" s="23" t="s">
        <v>679</v>
      </c>
      <c r="W46" s="23"/>
      <c r="X46" s="23"/>
      <c r="Y46" s="24"/>
      <c r="Z46" s="23"/>
      <c r="AA46" s="23"/>
      <c r="AB46" s="24"/>
      <c r="AC46" s="23"/>
      <c r="AD46" s="23"/>
      <c r="AE46" s="24"/>
      <c r="AF46" s="23" t="s">
        <v>687</v>
      </c>
      <c r="AG46" s="23" t="s">
        <v>688</v>
      </c>
      <c r="AH46" s="24"/>
      <c r="AI46" s="23"/>
      <c r="AJ46" s="24" t="s">
        <v>689</v>
      </c>
      <c r="AK46" s="23" t="s">
        <v>110</v>
      </c>
      <c r="AL46" s="23" t="s">
        <v>168</v>
      </c>
      <c r="AM46" s="23"/>
    </row>
    <row r="47" spans="1:39" ht="28.8" x14ac:dyDescent="0.3">
      <c r="A47" s="23" t="s">
        <v>690</v>
      </c>
      <c r="B47" s="23" t="s">
        <v>691</v>
      </c>
      <c r="C47" s="23" t="s">
        <v>629</v>
      </c>
      <c r="D47" s="23" t="s">
        <v>692</v>
      </c>
      <c r="E47" s="23" t="s">
        <v>693</v>
      </c>
      <c r="F47" s="23" t="s">
        <v>694</v>
      </c>
      <c r="G47" s="23" t="s">
        <v>695</v>
      </c>
      <c r="H47" s="23" t="s">
        <v>328</v>
      </c>
      <c r="I47" s="23" t="s">
        <v>87</v>
      </c>
      <c r="J47" s="23" t="s">
        <v>88</v>
      </c>
      <c r="K47" s="23" t="s">
        <v>328</v>
      </c>
      <c r="L47" s="23" t="s">
        <v>89</v>
      </c>
      <c r="M47" s="23" t="s">
        <v>283</v>
      </c>
      <c r="N47" s="24" t="s">
        <v>696</v>
      </c>
      <c r="O47" s="25">
        <v>65000</v>
      </c>
      <c r="P47" s="23" t="s">
        <v>92</v>
      </c>
      <c r="Q47" s="24" t="s">
        <v>696</v>
      </c>
      <c r="R47" s="24" t="s">
        <v>697</v>
      </c>
      <c r="S47" s="24" t="s">
        <v>698</v>
      </c>
      <c r="T47" s="24" t="s">
        <v>158</v>
      </c>
      <c r="U47" s="23" t="s">
        <v>96</v>
      </c>
      <c r="V47" s="23" t="s">
        <v>699</v>
      </c>
      <c r="W47" s="23"/>
      <c r="X47" s="23"/>
      <c r="Y47" s="24"/>
      <c r="Z47" s="23"/>
      <c r="AA47" s="23"/>
      <c r="AB47" s="24"/>
      <c r="AC47" s="23"/>
      <c r="AD47" s="23"/>
      <c r="AE47" s="24"/>
      <c r="AF47" s="23"/>
      <c r="AG47" s="23"/>
      <c r="AH47" s="24"/>
      <c r="AI47" s="23"/>
      <c r="AJ47" s="24" t="s">
        <v>700</v>
      </c>
      <c r="AK47" s="23" t="s">
        <v>110</v>
      </c>
      <c r="AL47" s="23" t="s">
        <v>111</v>
      </c>
      <c r="AM47" s="23"/>
    </row>
    <row r="48" spans="1:39" ht="28.8" x14ac:dyDescent="0.3">
      <c r="A48" s="23" t="s">
        <v>701</v>
      </c>
      <c r="B48" s="23" t="s">
        <v>702</v>
      </c>
      <c r="C48" s="23" t="s">
        <v>703</v>
      </c>
      <c r="D48" s="23" t="s">
        <v>704</v>
      </c>
      <c r="E48" s="23" t="s">
        <v>705</v>
      </c>
      <c r="F48" s="23" t="s">
        <v>706</v>
      </c>
      <c r="G48" s="23" t="s">
        <v>707</v>
      </c>
      <c r="H48" s="23" t="s">
        <v>475</v>
      </c>
      <c r="I48" s="23" t="s">
        <v>476</v>
      </c>
      <c r="J48" s="23" t="s">
        <v>477</v>
      </c>
      <c r="K48" s="23" t="s">
        <v>475</v>
      </c>
      <c r="L48" s="23" t="s">
        <v>89</v>
      </c>
      <c r="M48" s="23" t="s">
        <v>136</v>
      </c>
      <c r="N48" s="24" t="s">
        <v>708</v>
      </c>
      <c r="O48" s="25">
        <v>520000</v>
      </c>
      <c r="P48" s="23" t="s">
        <v>177</v>
      </c>
      <c r="Q48" s="24" t="s">
        <v>708</v>
      </c>
      <c r="R48" s="24" t="s">
        <v>709</v>
      </c>
      <c r="S48" s="24" t="s">
        <v>124</v>
      </c>
      <c r="T48" s="24" t="s">
        <v>374</v>
      </c>
      <c r="U48" s="23" t="s">
        <v>482</v>
      </c>
      <c r="V48" s="23" t="s">
        <v>710</v>
      </c>
      <c r="W48" s="23"/>
      <c r="X48" s="23"/>
      <c r="Y48" s="24"/>
      <c r="Z48" s="23"/>
      <c r="AA48" s="23"/>
      <c r="AB48" s="24"/>
      <c r="AC48" s="23"/>
      <c r="AD48" s="23"/>
      <c r="AE48" s="24"/>
      <c r="AF48" s="23" t="s">
        <v>711</v>
      </c>
      <c r="AG48" s="23" t="s">
        <v>712</v>
      </c>
      <c r="AH48" s="24"/>
      <c r="AI48" s="23"/>
      <c r="AJ48" s="24" t="s">
        <v>656</v>
      </c>
      <c r="AK48" s="23" t="s">
        <v>110</v>
      </c>
      <c r="AL48" s="23" t="s">
        <v>131</v>
      </c>
      <c r="AM48" s="23"/>
    </row>
    <row r="49" spans="1:39" ht="28.8" x14ac:dyDescent="0.3">
      <c r="A49" s="23" t="s">
        <v>713</v>
      </c>
      <c r="B49" s="23" t="s">
        <v>568</v>
      </c>
      <c r="C49" s="23" t="s">
        <v>537</v>
      </c>
      <c r="D49" s="23" t="s">
        <v>569</v>
      </c>
      <c r="E49" s="23" t="s">
        <v>714</v>
      </c>
      <c r="F49" s="23" t="s">
        <v>715</v>
      </c>
      <c r="G49" s="23" t="s">
        <v>716</v>
      </c>
      <c r="H49" s="23" t="s">
        <v>475</v>
      </c>
      <c r="I49" s="23" t="s">
        <v>476</v>
      </c>
      <c r="J49" s="23" t="s">
        <v>88</v>
      </c>
      <c r="K49" s="23" t="s">
        <v>475</v>
      </c>
      <c r="L49" s="23" t="s">
        <v>89</v>
      </c>
      <c r="M49" s="23" t="s">
        <v>136</v>
      </c>
      <c r="N49" s="24" t="s">
        <v>717</v>
      </c>
      <c r="O49" s="25">
        <v>55000</v>
      </c>
      <c r="P49" s="23" t="s">
        <v>227</v>
      </c>
      <c r="Q49" s="24" t="s">
        <v>717</v>
      </c>
      <c r="R49" s="24" t="s">
        <v>718</v>
      </c>
      <c r="S49" s="24" t="s">
        <v>486</v>
      </c>
      <c r="T49" s="24" t="s">
        <v>270</v>
      </c>
      <c r="U49" s="23" t="s">
        <v>96</v>
      </c>
      <c r="V49" s="23" t="s">
        <v>576</v>
      </c>
      <c r="W49" s="23"/>
      <c r="X49" s="23"/>
      <c r="Y49" s="24"/>
      <c r="Z49" s="23"/>
      <c r="AA49" s="23"/>
      <c r="AB49" s="24"/>
      <c r="AC49" s="23"/>
      <c r="AD49" s="23"/>
      <c r="AE49" s="24"/>
      <c r="AF49" s="23" t="s">
        <v>719</v>
      </c>
      <c r="AG49" s="23" t="s">
        <v>720</v>
      </c>
      <c r="AH49" s="24"/>
      <c r="AI49" s="23"/>
      <c r="AJ49" s="24" t="s">
        <v>331</v>
      </c>
      <c r="AK49" s="23" t="s">
        <v>110</v>
      </c>
      <c r="AL49" s="23" t="s">
        <v>147</v>
      </c>
      <c r="AM49" s="23"/>
    </row>
    <row r="50" spans="1:39" ht="28.8" x14ac:dyDescent="0.3">
      <c r="A50" s="23" t="s">
        <v>721</v>
      </c>
      <c r="B50" s="23" t="s">
        <v>591</v>
      </c>
      <c r="C50" s="23" t="s">
        <v>471</v>
      </c>
      <c r="D50" s="23" t="s">
        <v>722</v>
      </c>
      <c r="E50" s="23" t="s">
        <v>723</v>
      </c>
      <c r="F50" s="23" t="s">
        <v>724</v>
      </c>
      <c r="G50" s="23" t="s">
        <v>725</v>
      </c>
      <c r="H50" s="23" t="s">
        <v>503</v>
      </c>
      <c r="I50" s="23" t="s">
        <v>476</v>
      </c>
      <c r="J50" s="23" t="s">
        <v>88</v>
      </c>
      <c r="K50" s="23" t="s">
        <v>475</v>
      </c>
      <c r="L50" s="23" t="s">
        <v>89</v>
      </c>
      <c r="M50" s="23" t="s">
        <v>136</v>
      </c>
      <c r="N50" s="24" t="s">
        <v>726</v>
      </c>
      <c r="O50" s="25">
        <v>95000</v>
      </c>
      <c r="P50" s="23" t="s">
        <v>177</v>
      </c>
      <c r="Q50" s="24" t="s">
        <v>726</v>
      </c>
      <c r="R50" s="24" t="s">
        <v>727</v>
      </c>
      <c r="S50" s="24" t="s">
        <v>229</v>
      </c>
      <c r="T50" s="24" t="s">
        <v>728</v>
      </c>
      <c r="U50" s="23" t="s">
        <v>482</v>
      </c>
      <c r="V50" s="23" t="s">
        <v>599</v>
      </c>
      <c r="W50" s="23"/>
      <c r="X50" s="23"/>
      <c r="Y50" s="24"/>
      <c r="Z50" s="23"/>
      <c r="AA50" s="23"/>
      <c r="AB50" s="24"/>
      <c r="AC50" s="23"/>
      <c r="AD50" s="23"/>
      <c r="AE50" s="24"/>
      <c r="AF50" s="23"/>
      <c r="AG50" s="23"/>
      <c r="AH50" s="24"/>
      <c r="AI50" s="23"/>
      <c r="AJ50" s="24" t="s">
        <v>729</v>
      </c>
      <c r="AK50" s="23" t="s">
        <v>110</v>
      </c>
      <c r="AL50" s="23" t="s">
        <v>168</v>
      </c>
      <c r="AM50" s="23"/>
    </row>
    <row r="51" spans="1:39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8"/>
      <c r="P51" s="26"/>
      <c r="Q51" s="27"/>
      <c r="R51" s="27"/>
      <c r="S51" s="27"/>
      <c r="T51" s="27"/>
      <c r="U51" s="26"/>
      <c r="V51" s="26"/>
      <c r="W51" s="26"/>
      <c r="X51" s="26"/>
      <c r="Y51" s="27"/>
      <c r="Z51" s="26"/>
      <c r="AA51" s="26"/>
      <c r="AB51" s="27"/>
      <c r="AC51" s="26"/>
      <c r="AD51" s="26"/>
      <c r="AE51" s="27"/>
      <c r="AF51" s="26"/>
      <c r="AG51" s="26"/>
      <c r="AH51" s="27"/>
      <c r="AI51" s="26"/>
      <c r="AJ51" s="27"/>
      <c r="AK51" s="26"/>
      <c r="AL51" s="26"/>
      <c r="AM51" s="26"/>
    </row>
    <row r="52" spans="1:39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8"/>
      <c r="P52" s="26"/>
      <c r="Q52" s="27"/>
      <c r="R52" s="27"/>
      <c r="S52" s="27"/>
      <c r="T52" s="27"/>
      <c r="U52" s="26"/>
      <c r="V52" s="26"/>
      <c r="W52" s="26"/>
      <c r="X52" s="26"/>
      <c r="Y52" s="27"/>
      <c r="Z52" s="26"/>
      <c r="AA52" s="26"/>
      <c r="AB52" s="27"/>
      <c r="AC52" s="26"/>
      <c r="AD52" s="26"/>
      <c r="AE52" s="27"/>
      <c r="AF52" s="26"/>
      <c r="AG52" s="26"/>
      <c r="AH52" s="27"/>
      <c r="AI52" s="26"/>
      <c r="AJ52" s="27"/>
      <c r="AK52" s="26"/>
      <c r="AL52" s="26"/>
      <c r="AM52" s="26"/>
    </row>
    <row r="53" spans="1:39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8"/>
      <c r="P53" s="26"/>
      <c r="Q53" s="27"/>
      <c r="R53" s="27"/>
      <c r="S53" s="27"/>
      <c r="T53" s="27"/>
      <c r="U53" s="26"/>
      <c r="V53" s="26"/>
      <c r="W53" s="26"/>
      <c r="X53" s="26"/>
      <c r="Y53" s="27"/>
      <c r="Z53" s="26"/>
      <c r="AA53" s="26"/>
      <c r="AB53" s="27"/>
      <c r="AC53" s="26"/>
      <c r="AD53" s="26"/>
      <c r="AE53" s="27"/>
      <c r="AF53" s="26"/>
      <c r="AG53" s="26"/>
      <c r="AH53" s="27"/>
      <c r="AI53" s="26"/>
      <c r="AJ53" s="27"/>
      <c r="AK53" s="26"/>
      <c r="AL53" s="26"/>
      <c r="AM53" s="26"/>
    </row>
    <row r="54" spans="1:39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8"/>
      <c r="P54" s="26"/>
      <c r="Q54" s="27"/>
      <c r="R54" s="27"/>
      <c r="S54" s="27"/>
      <c r="T54" s="27"/>
      <c r="U54" s="26"/>
      <c r="V54" s="26"/>
      <c r="W54" s="26"/>
      <c r="X54" s="26"/>
      <c r="Y54" s="27"/>
      <c r="Z54" s="26"/>
      <c r="AA54" s="26"/>
      <c r="AB54" s="27"/>
      <c r="AC54" s="26"/>
      <c r="AD54" s="26"/>
      <c r="AE54" s="27"/>
      <c r="AF54" s="26"/>
      <c r="AG54" s="26"/>
      <c r="AH54" s="27"/>
      <c r="AI54" s="26"/>
      <c r="AJ54" s="27"/>
      <c r="AK54" s="26"/>
      <c r="AL54" s="26"/>
      <c r="AM54" s="26"/>
    </row>
    <row r="55" spans="1:39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8"/>
      <c r="P55" s="26"/>
      <c r="Q55" s="27"/>
      <c r="R55" s="27"/>
      <c r="S55" s="27"/>
      <c r="T55" s="27"/>
      <c r="U55" s="26"/>
      <c r="V55" s="26"/>
      <c r="W55" s="26"/>
      <c r="X55" s="26"/>
      <c r="Y55" s="27"/>
      <c r="Z55" s="26"/>
      <c r="AA55" s="26"/>
      <c r="AB55" s="27"/>
      <c r="AC55" s="26"/>
      <c r="AD55" s="26"/>
      <c r="AE55" s="27"/>
      <c r="AF55" s="26"/>
      <c r="AG55" s="26"/>
      <c r="AH55" s="27"/>
      <c r="AI55" s="26"/>
      <c r="AJ55" s="27"/>
      <c r="AK55" s="26"/>
      <c r="AL55" s="26"/>
      <c r="AM55" s="26"/>
    </row>
    <row r="56" spans="1:39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8"/>
      <c r="P56" s="26"/>
      <c r="Q56" s="27"/>
      <c r="R56" s="27"/>
      <c r="S56" s="27"/>
      <c r="T56" s="27"/>
      <c r="U56" s="26"/>
      <c r="V56" s="26"/>
      <c r="W56" s="26"/>
      <c r="X56" s="26"/>
      <c r="Y56" s="27"/>
      <c r="Z56" s="26"/>
      <c r="AA56" s="26"/>
      <c r="AB56" s="27"/>
      <c r="AC56" s="26"/>
      <c r="AD56" s="26"/>
      <c r="AE56" s="27"/>
      <c r="AF56" s="26"/>
      <c r="AG56" s="26"/>
      <c r="AH56" s="27"/>
      <c r="AI56" s="26"/>
      <c r="AJ56" s="27"/>
      <c r="AK56" s="26"/>
      <c r="AL56" s="26"/>
      <c r="AM56" s="26"/>
    </row>
    <row r="57" spans="1:39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8"/>
      <c r="P57" s="26"/>
      <c r="Q57" s="27"/>
      <c r="R57" s="27"/>
      <c r="S57" s="27"/>
      <c r="T57" s="27"/>
      <c r="U57" s="26"/>
      <c r="V57" s="26"/>
      <c r="W57" s="26"/>
      <c r="X57" s="26"/>
      <c r="Y57" s="27"/>
      <c r="Z57" s="26"/>
      <c r="AA57" s="26"/>
      <c r="AB57" s="27"/>
      <c r="AC57" s="26"/>
      <c r="AD57" s="26"/>
      <c r="AE57" s="27"/>
      <c r="AF57" s="26"/>
      <c r="AG57" s="26"/>
      <c r="AH57" s="27"/>
      <c r="AI57" s="26"/>
      <c r="AJ57" s="27"/>
      <c r="AK57" s="26"/>
      <c r="AL57" s="26"/>
      <c r="AM57" s="26"/>
    </row>
    <row r="58" spans="1:39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8"/>
      <c r="P58" s="26"/>
      <c r="Q58" s="27"/>
      <c r="R58" s="27"/>
      <c r="S58" s="27"/>
      <c r="T58" s="27"/>
      <c r="U58" s="26"/>
      <c r="V58" s="26"/>
      <c r="W58" s="26"/>
      <c r="X58" s="26"/>
      <c r="Y58" s="27"/>
      <c r="Z58" s="26"/>
      <c r="AA58" s="26"/>
      <c r="AB58" s="27"/>
      <c r="AC58" s="26"/>
      <c r="AD58" s="26"/>
      <c r="AE58" s="27"/>
      <c r="AF58" s="26"/>
      <c r="AG58" s="26"/>
      <c r="AH58" s="27"/>
      <c r="AI58" s="26"/>
      <c r="AJ58" s="27"/>
      <c r="AK58" s="26"/>
      <c r="AL58" s="26"/>
      <c r="AM58" s="26"/>
    </row>
    <row r="59" spans="1:39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8"/>
      <c r="P59" s="26"/>
      <c r="Q59" s="27"/>
      <c r="R59" s="27"/>
      <c r="S59" s="27"/>
      <c r="T59" s="27"/>
      <c r="U59" s="26"/>
      <c r="V59" s="26"/>
      <c r="W59" s="26"/>
      <c r="X59" s="26"/>
      <c r="Y59" s="27"/>
      <c r="Z59" s="26"/>
      <c r="AA59" s="26"/>
      <c r="AB59" s="27"/>
      <c r="AC59" s="26"/>
      <c r="AD59" s="26"/>
      <c r="AE59" s="27"/>
      <c r="AF59" s="26"/>
      <c r="AG59" s="26"/>
      <c r="AH59" s="27"/>
      <c r="AI59" s="26"/>
      <c r="AJ59" s="27"/>
      <c r="AK59" s="26"/>
      <c r="AL59" s="26"/>
      <c r="AM59" s="26"/>
    </row>
    <row r="60" spans="1:39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8"/>
      <c r="P60" s="26"/>
      <c r="Q60" s="27"/>
      <c r="R60" s="27"/>
      <c r="S60" s="27"/>
      <c r="T60" s="27"/>
      <c r="U60" s="26"/>
      <c r="V60" s="26"/>
      <c r="W60" s="26"/>
      <c r="X60" s="26"/>
      <c r="Y60" s="27"/>
      <c r="Z60" s="26"/>
      <c r="AA60" s="26"/>
      <c r="AB60" s="27"/>
      <c r="AC60" s="26"/>
      <c r="AD60" s="26"/>
      <c r="AE60" s="27"/>
      <c r="AF60" s="26"/>
      <c r="AG60" s="26"/>
      <c r="AH60" s="27"/>
      <c r="AI60" s="26"/>
      <c r="AJ60" s="27"/>
      <c r="AK60" s="26"/>
      <c r="AL60" s="26"/>
      <c r="AM60" s="26"/>
    </row>
    <row r="61" spans="1:39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8"/>
      <c r="P61" s="26"/>
      <c r="Q61" s="27"/>
      <c r="R61" s="27"/>
      <c r="S61" s="27"/>
      <c r="T61" s="27"/>
      <c r="U61" s="26"/>
      <c r="V61" s="26"/>
      <c r="W61" s="26"/>
      <c r="X61" s="26"/>
      <c r="Y61" s="27"/>
      <c r="Z61" s="26"/>
      <c r="AA61" s="26"/>
      <c r="AB61" s="27"/>
      <c r="AC61" s="26"/>
      <c r="AD61" s="26"/>
      <c r="AE61" s="27"/>
      <c r="AF61" s="26"/>
      <c r="AG61" s="26"/>
      <c r="AH61" s="27"/>
      <c r="AI61" s="26"/>
      <c r="AJ61" s="27"/>
      <c r="AK61" s="26"/>
      <c r="AL61" s="26"/>
      <c r="AM61" s="26"/>
    </row>
    <row r="62" spans="1:39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8"/>
      <c r="P62" s="26"/>
      <c r="Q62" s="27"/>
      <c r="R62" s="27"/>
      <c r="S62" s="27"/>
      <c r="T62" s="27"/>
      <c r="U62" s="26"/>
      <c r="V62" s="26"/>
      <c r="W62" s="26"/>
      <c r="X62" s="26"/>
      <c r="Y62" s="27"/>
      <c r="Z62" s="26"/>
      <c r="AA62" s="26"/>
      <c r="AB62" s="27"/>
      <c r="AC62" s="26"/>
      <c r="AD62" s="26"/>
      <c r="AE62" s="27"/>
      <c r="AF62" s="26"/>
      <c r="AG62" s="26"/>
      <c r="AH62" s="27"/>
      <c r="AI62" s="26"/>
      <c r="AJ62" s="27"/>
      <c r="AK62" s="26"/>
      <c r="AL62" s="26"/>
      <c r="AM62" s="26"/>
    </row>
    <row r="63" spans="1:39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8"/>
      <c r="P63" s="26"/>
      <c r="Q63" s="27"/>
      <c r="R63" s="27"/>
      <c r="S63" s="27"/>
      <c r="T63" s="27"/>
      <c r="U63" s="26"/>
      <c r="V63" s="26"/>
      <c r="W63" s="26"/>
      <c r="X63" s="26"/>
      <c r="Y63" s="27"/>
      <c r="Z63" s="26"/>
      <c r="AA63" s="26"/>
      <c r="AB63" s="27"/>
      <c r="AC63" s="26"/>
      <c r="AD63" s="26"/>
      <c r="AE63" s="27"/>
      <c r="AF63" s="26"/>
      <c r="AG63" s="26"/>
      <c r="AH63" s="27"/>
      <c r="AI63" s="26"/>
      <c r="AJ63" s="27"/>
      <c r="AK63" s="26"/>
      <c r="AL63" s="26"/>
      <c r="AM63" s="26"/>
    </row>
    <row r="64" spans="1:39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8"/>
      <c r="P64" s="26"/>
      <c r="Q64" s="27"/>
      <c r="R64" s="27"/>
      <c r="S64" s="27"/>
      <c r="T64" s="27"/>
      <c r="U64" s="26"/>
      <c r="V64" s="26"/>
      <c r="W64" s="26"/>
      <c r="X64" s="26"/>
      <c r="Y64" s="27"/>
      <c r="Z64" s="26"/>
      <c r="AA64" s="26"/>
      <c r="AB64" s="27"/>
      <c r="AC64" s="26"/>
      <c r="AD64" s="26"/>
      <c r="AE64" s="27"/>
      <c r="AF64" s="26"/>
      <c r="AG64" s="26"/>
      <c r="AH64" s="27"/>
      <c r="AI64" s="26"/>
      <c r="AJ64" s="27"/>
      <c r="AK64" s="26"/>
      <c r="AL64" s="26"/>
      <c r="AM64" s="26"/>
    </row>
    <row r="65" spans="1:39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8"/>
      <c r="P65" s="26"/>
      <c r="Q65" s="27"/>
      <c r="R65" s="27"/>
      <c r="S65" s="27"/>
      <c r="T65" s="27"/>
      <c r="U65" s="26"/>
      <c r="V65" s="26"/>
      <c r="W65" s="26"/>
      <c r="X65" s="26"/>
      <c r="Y65" s="27"/>
      <c r="Z65" s="26"/>
      <c r="AA65" s="26"/>
      <c r="AB65" s="27"/>
      <c r="AC65" s="26"/>
      <c r="AD65" s="26"/>
      <c r="AE65" s="27"/>
      <c r="AF65" s="26"/>
      <c r="AG65" s="26"/>
      <c r="AH65" s="27"/>
      <c r="AI65" s="26"/>
      <c r="AJ65" s="27"/>
      <c r="AK65" s="26"/>
      <c r="AL65" s="26"/>
      <c r="AM65" s="26"/>
    </row>
    <row r="66" spans="1:39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8"/>
      <c r="P66" s="26"/>
      <c r="Q66" s="27"/>
      <c r="R66" s="27"/>
      <c r="S66" s="27"/>
      <c r="T66" s="27"/>
      <c r="U66" s="26"/>
      <c r="V66" s="26"/>
      <c r="W66" s="26"/>
      <c r="X66" s="26"/>
      <c r="Y66" s="27"/>
      <c r="Z66" s="26"/>
      <c r="AA66" s="26"/>
      <c r="AB66" s="27"/>
      <c r="AC66" s="26"/>
      <c r="AD66" s="26"/>
      <c r="AE66" s="27"/>
      <c r="AF66" s="26"/>
      <c r="AG66" s="26"/>
      <c r="AH66" s="27"/>
      <c r="AI66" s="26"/>
      <c r="AJ66" s="27"/>
      <c r="AK66" s="26"/>
      <c r="AL66" s="26"/>
      <c r="AM66" s="26"/>
    </row>
    <row r="67" spans="1:39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28"/>
      <c r="P67" s="26"/>
      <c r="Q67" s="27"/>
      <c r="R67" s="27"/>
      <c r="S67" s="27"/>
      <c r="T67" s="27"/>
      <c r="U67" s="26"/>
      <c r="V67" s="26"/>
      <c r="W67" s="26"/>
      <c r="X67" s="26"/>
      <c r="Y67" s="27"/>
      <c r="Z67" s="26"/>
      <c r="AA67" s="26"/>
      <c r="AB67" s="27"/>
      <c r="AC67" s="26"/>
      <c r="AD67" s="26"/>
      <c r="AE67" s="27"/>
      <c r="AF67" s="26"/>
      <c r="AG67" s="26"/>
      <c r="AH67" s="27"/>
      <c r="AI67" s="26"/>
      <c r="AJ67" s="27"/>
      <c r="AK67" s="26"/>
      <c r="AL67" s="26"/>
      <c r="AM67" s="26"/>
    </row>
    <row r="68" spans="1:39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8"/>
      <c r="P68" s="26"/>
      <c r="Q68" s="27"/>
      <c r="R68" s="27"/>
      <c r="S68" s="27"/>
      <c r="T68" s="27"/>
      <c r="U68" s="26"/>
      <c r="V68" s="26"/>
      <c r="W68" s="26"/>
      <c r="X68" s="26"/>
      <c r="Y68" s="27"/>
      <c r="Z68" s="26"/>
      <c r="AA68" s="26"/>
      <c r="AB68" s="27"/>
      <c r="AC68" s="26"/>
      <c r="AD68" s="26"/>
      <c r="AE68" s="27"/>
      <c r="AF68" s="26"/>
      <c r="AG68" s="26"/>
      <c r="AH68" s="27"/>
      <c r="AI68" s="26"/>
      <c r="AJ68" s="27"/>
      <c r="AK68" s="26"/>
      <c r="AL68" s="26"/>
      <c r="AM68" s="26"/>
    </row>
    <row r="69" spans="1:39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8"/>
      <c r="P69" s="26"/>
      <c r="Q69" s="27"/>
      <c r="R69" s="27"/>
      <c r="S69" s="27"/>
      <c r="T69" s="27"/>
      <c r="U69" s="26"/>
      <c r="V69" s="26"/>
      <c r="W69" s="26"/>
      <c r="X69" s="26"/>
      <c r="Y69" s="27"/>
      <c r="Z69" s="26"/>
      <c r="AA69" s="26"/>
      <c r="AB69" s="27"/>
      <c r="AC69" s="26"/>
      <c r="AD69" s="26"/>
      <c r="AE69" s="27"/>
      <c r="AF69" s="26"/>
      <c r="AG69" s="26"/>
      <c r="AH69" s="27"/>
      <c r="AI69" s="26"/>
      <c r="AJ69" s="27"/>
      <c r="AK69" s="26"/>
      <c r="AL69" s="26"/>
      <c r="AM69" s="26"/>
    </row>
    <row r="70" spans="1:39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8"/>
      <c r="P70" s="26"/>
      <c r="Q70" s="27"/>
      <c r="R70" s="27"/>
      <c r="S70" s="27"/>
      <c r="T70" s="27"/>
      <c r="U70" s="26"/>
      <c r="V70" s="26"/>
      <c r="W70" s="26"/>
      <c r="X70" s="26"/>
      <c r="Y70" s="27"/>
      <c r="Z70" s="26"/>
      <c r="AA70" s="26"/>
      <c r="AB70" s="27"/>
      <c r="AC70" s="26"/>
      <c r="AD70" s="26"/>
      <c r="AE70" s="27"/>
      <c r="AF70" s="26"/>
      <c r="AG70" s="26"/>
      <c r="AH70" s="27"/>
      <c r="AI70" s="26"/>
      <c r="AJ70" s="27"/>
      <c r="AK70" s="26"/>
      <c r="AL70" s="26"/>
      <c r="AM70" s="26"/>
    </row>
    <row r="71" spans="1:39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8"/>
      <c r="P71" s="26"/>
      <c r="Q71" s="27"/>
      <c r="R71" s="27"/>
      <c r="S71" s="27"/>
      <c r="T71" s="27"/>
      <c r="U71" s="26"/>
      <c r="V71" s="26"/>
      <c r="W71" s="26"/>
      <c r="X71" s="26"/>
      <c r="Y71" s="27"/>
      <c r="Z71" s="26"/>
      <c r="AA71" s="26"/>
      <c r="AB71" s="27"/>
      <c r="AC71" s="26"/>
      <c r="AD71" s="26"/>
      <c r="AE71" s="27"/>
      <c r="AF71" s="26"/>
      <c r="AG71" s="26"/>
      <c r="AH71" s="27"/>
      <c r="AI71" s="26"/>
      <c r="AJ71" s="27"/>
      <c r="AK71" s="26"/>
      <c r="AL71" s="26"/>
      <c r="AM71" s="26"/>
    </row>
    <row r="72" spans="1:39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  <c r="O72" s="28"/>
      <c r="P72" s="26"/>
      <c r="Q72" s="27"/>
      <c r="R72" s="27"/>
      <c r="S72" s="27"/>
      <c r="T72" s="27"/>
      <c r="U72" s="26"/>
      <c r="V72" s="26"/>
      <c r="W72" s="26"/>
      <c r="X72" s="26"/>
      <c r="Y72" s="27"/>
      <c r="Z72" s="26"/>
      <c r="AA72" s="26"/>
      <c r="AB72" s="27"/>
      <c r="AC72" s="26"/>
      <c r="AD72" s="26"/>
      <c r="AE72" s="27"/>
      <c r="AF72" s="26"/>
      <c r="AG72" s="26"/>
      <c r="AH72" s="27"/>
      <c r="AI72" s="26"/>
      <c r="AJ72" s="27"/>
      <c r="AK72" s="26"/>
      <c r="AL72" s="26"/>
      <c r="AM72" s="26"/>
    </row>
    <row r="73" spans="1:39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28"/>
      <c r="P73" s="26"/>
      <c r="Q73" s="27"/>
      <c r="R73" s="27"/>
      <c r="S73" s="27"/>
      <c r="T73" s="27"/>
      <c r="U73" s="26"/>
      <c r="V73" s="26"/>
      <c r="W73" s="26"/>
      <c r="X73" s="26"/>
      <c r="Y73" s="27"/>
      <c r="Z73" s="26"/>
      <c r="AA73" s="26"/>
      <c r="AB73" s="27"/>
      <c r="AC73" s="26"/>
      <c r="AD73" s="26"/>
      <c r="AE73" s="27"/>
      <c r="AF73" s="26"/>
      <c r="AG73" s="26"/>
      <c r="AH73" s="27"/>
      <c r="AI73" s="26"/>
      <c r="AJ73" s="27"/>
      <c r="AK73" s="26"/>
      <c r="AL73" s="26"/>
      <c r="AM73" s="26"/>
    </row>
    <row r="74" spans="1:39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  <c r="O74" s="28"/>
      <c r="P74" s="26"/>
      <c r="Q74" s="27"/>
      <c r="R74" s="27"/>
      <c r="S74" s="27"/>
      <c r="T74" s="27"/>
      <c r="U74" s="26"/>
      <c r="V74" s="26"/>
      <c r="W74" s="26"/>
      <c r="X74" s="26"/>
      <c r="Y74" s="27"/>
      <c r="Z74" s="26"/>
      <c r="AA74" s="26"/>
      <c r="AB74" s="27"/>
      <c r="AC74" s="26"/>
      <c r="AD74" s="26"/>
      <c r="AE74" s="27"/>
      <c r="AF74" s="26"/>
      <c r="AG74" s="26"/>
      <c r="AH74" s="27"/>
      <c r="AI74" s="26"/>
      <c r="AJ74" s="27"/>
      <c r="AK74" s="26"/>
      <c r="AL74" s="26"/>
      <c r="AM74" s="26"/>
    </row>
    <row r="75" spans="1:39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  <c r="O75" s="28"/>
      <c r="P75" s="26"/>
      <c r="Q75" s="27"/>
      <c r="R75" s="27"/>
      <c r="S75" s="27"/>
      <c r="T75" s="27"/>
      <c r="U75" s="26"/>
      <c r="V75" s="26"/>
      <c r="W75" s="26"/>
      <c r="X75" s="26"/>
      <c r="Y75" s="27"/>
      <c r="Z75" s="26"/>
      <c r="AA75" s="26"/>
      <c r="AB75" s="27"/>
      <c r="AC75" s="26"/>
      <c r="AD75" s="26"/>
      <c r="AE75" s="27"/>
      <c r="AF75" s="26"/>
      <c r="AG75" s="26"/>
      <c r="AH75" s="27"/>
      <c r="AI75" s="26"/>
      <c r="AJ75" s="27"/>
      <c r="AK75" s="26"/>
      <c r="AL75" s="26"/>
      <c r="AM75" s="26"/>
    </row>
    <row r="76" spans="1:39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7"/>
      <c r="O76" s="28"/>
      <c r="P76" s="26"/>
      <c r="Q76" s="27"/>
      <c r="R76" s="27"/>
      <c r="S76" s="27"/>
      <c r="T76" s="27"/>
      <c r="U76" s="26"/>
      <c r="V76" s="26"/>
      <c r="W76" s="26"/>
      <c r="X76" s="26"/>
      <c r="Y76" s="27"/>
      <c r="Z76" s="26"/>
      <c r="AA76" s="26"/>
      <c r="AB76" s="27"/>
      <c r="AC76" s="26"/>
      <c r="AD76" s="26"/>
      <c r="AE76" s="27"/>
      <c r="AF76" s="26"/>
      <c r="AG76" s="26"/>
      <c r="AH76" s="27"/>
      <c r="AI76" s="26"/>
      <c r="AJ76" s="27"/>
      <c r="AK76" s="26"/>
      <c r="AL76" s="26"/>
      <c r="AM76" s="26"/>
    </row>
    <row r="77" spans="1:39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  <c r="O77" s="28"/>
      <c r="P77" s="26"/>
      <c r="Q77" s="27"/>
      <c r="R77" s="27"/>
      <c r="S77" s="27"/>
      <c r="T77" s="27"/>
      <c r="U77" s="26"/>
      <c r="V77" s="26"/>
      <c r="W77" s="26"/>
      <c r="X77" s="26"/>
      <c r="Y77" s="27"/>
      <c r="Z77" s="26"/>
      <c r="AA77" s="26"/>
      <c r="AB77" s="27"/>
      <c r="AC77" s="26"/>
      <c r="AD77" s="26"/>
      <c r="AE77" s="27"/>
      <c r="AF77" s="26"/>
      <c r="AG77" s="26"/>
      <c r="AH77" s="27"/>
      <c r="AI77" s="26"/>
      <c r="AJ77" s="27"/>
      <c r="AK77" s="26"/>
      <c r="AL77" s="26"/>
      <c r="AM77" s="26"/>
    </row>
    <row r="78" spans="1:39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7"/>
      <c r="O78" s="28"/>
      <c r="P78" s="26"/>
      <c r="Q78" s="27"/>
      <c r="R78" s="27"/>
      <c r="S78" s="27"/>
      <c r="T78" s="27"/>
      <c r="U78" s="26"/>
      <c r="V78" s="26"/>
      <c r="W78" s="26"/>
      <c r="X78" s="26"/>
      <c r="Y78" s="27"/>
      <c r="Z78" s="26"/>
      <c r="AA78" s="26"/>
      <c r="AB78" s="27"/>
      <c r="AC78" s="26"/>
      <c r="AD78" s="26"/>
      <c r="AE78" s="27"/>
      <c r="AF78" s="26"/>
      <c r="AG78" s="26"/>
      <c r="AH78" s="27"/>
      <c r="AI78" s="26"/>
      <c r="AJ78" s="27"/>
      <c r="AK78" s="26"/>
      <c r="AL78" s="26"/>
      <c r="AM78" s="26"/>
    </row>
    <row r="79" spans="1:39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7"/>
      <c r="O79" s="28"/>
      <c r="P79" s="26"/>
      <c r="Q79" s="27"/>
      <c r="R79" s="27"/>
      <c r="S79" s="27"/>
      <c r="T79" s="27"/>
      <c r="U79" s="26"/>
      <c r="V79" s="26"/>
      <c r="W79" s="26"/>
      <c r="X79" s="26"/>
      <c r="Y79" s="27"/>
      <c r="Z79" s="26"/>
      <c r="AA79" s="26"/>
      <c r="AB79" s="27"/>
      <c r="AC79" s="26"/>
      <c r="AD79" s="26"/>
      <c r="AE79" s="27"/>
      <c r="AF79" s="26"/>
      <c r="AG79" s="26"/>
      <c r="AH79" s="27"/>
      <c r="AI79" s="26"/>
      <c r="AJ79" s="27"/>
      <c r="AK79" s="26"/>
      <c r="AL79" s="26"/>
      <c r="AM79" s="26"/>
    </row>
    <row r="80" spans="1:39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7"/>
      <c r="O80" s="28"/>
      <c r="P80" s="26"/>
      <c r="Q80" s="27"/>
      <c r="R80" s="27"/>
      <c r="S80" s="27"/>
      <c r="T80" s="27"/>
      <c r="U80" s="26"/>
      <c r="V80" s="26"/>
      <c r="W80" s="26"/>
      <c r="X80" s="26"/>
      <c r="Y80" s="27"/>
      <c r="Z80" s="26"/>
      <c r="AA80" s="26"/>
      <c r="AB80" s="27"/>
      <c r="AC80" s="26"/>
      <c r="AD80" s="26"/>
      <c r="AE80" s="27"/>
      <c r="AF80" s="26"/>
      <c r="AG80" s="26"/>
      <c r="AH80" s="27"/>
      <c r="AI80" s="26"/>
      <c r="AJ80" s="27"/>
      <c r="AK80" s="26"/>
      <c r="AL80" s="26"/>
      <c r="AM80" s="26"/>
    </row>
    <row r="81" spans="1:39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  <c r="O81" s="28"/>
      <c r="P81" s="26"/>
      <c r="Q81" s="27"/>
      <c r="R81" s="27"/>
      <c r="S81" s="27"/>
      <c r="T81" s="27"/>
      <c r="U81" s="26"/>
      <c r="V81" s="26"/>
      <c r="W81" s="26"/>
      <c r="X81" s="26"/>
      <c r="Y81" s="27"/>
      <c r="Z81" s="26"/>
      <c r="AA81" s="26"/>
      <c r="AB81" s="27"/>
      <c r="AC81" s="26"/>
      <c r="AD81" s="26"/>
      <c r="AE81" s="27"/>
      <c r="AF81" s="26"/>
      <c r="AG81" s="26"/>
      <c r="AH81" s="27"/>
      <c r="AI81" s="26"/>
      <c r="AJ81" s="27"/>
      <c r="AK81" s="26"/>
      <c r="AL81" s="26"/>
      <c r="AM81" s="26"/>
    </row>
    <row r="82" spans="1:39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  <c r="O82" s="28"/>
      <c r="P82" s="26"/>
      <c r="Q82" s="27"/>
      <c r="R82" s="27"/>
      <c r="S82" s="27"/>
      <c r="T82" s="27"/>
      <c r="U82" s="26"/>
      <c r="V82" s="26"/>
      <c r="W82" s="26"/>
      <c r="X82" s="26"/>
      <c r="Y82" s="27"/>
      <c r="Z82" s="26"/>
      <c r="AA82" s="26"/>
      <c r="AB82" s="27"/>
      <c r="AC82" s="26"/>
      <c r="AD82" s="26"/>
      <c r="AE82" s="27"/>
      <c r="AF82" s="26"/>
      <c r="AG82" s="26"/>
      <c r="AH82" s="27"/>
      <c r="AI82" s="26"/>
      <c r="AJ82" s="27"/>
      <c r="AK82" s="26"/>
      <c r="AL82" s="26"/>
      <c r="AM82" s="26"/>
    </row>
    <row r="83" spans="1:39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  <c r="O83" s="28"/>
      <c r="P83" s="26"/>
      <c r="Q83" s="27"/>
      <c r="R83" s="27"/>
      <c r="S83" s="27"/>
      <c r="T83" s="27"/>
      <c r="U83" s="26"/>
      <c r="V83" s="26"/>
      <c r="W83" s="26"/>
      <c r="X83" s="26"/>
      <c r="Y83" s="27"/>
      <c r="Z83" s="26"/>
      <c r="AA83" s="26"/>
      <c r="AB83" s="27"/>
      <c r="AC83" s="26"/>
      <c r="AD83" s="26"/>
      <c r="AE83" s="27"/>
      <c r="AF83" s="26"/>
      <c r="AG83" s="26"/>
      <c r="AH83" s="27"/>
      <c r="AI83" s="26"/>
      <c r="AJ83" s="27"/>
      <c r="AK83" s="26"/>
      <c r="AL83" s="26"/>
      <c r="AM83" s="26"/>
    </row>
    <row r="84" spans="1:39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  <c r="O84" s="28"/>
      <c r="P84" s="26"/>
      <c r="Q84" s="27"/>
      <c r="R84" s="27"/>
      <c r="S84" s="27"/>
      <c r="T84" s="27"/>
      <c r="U84" s="26"/>
      <c r="V84" s="26"/>
      <c r="W84" s="26"/>
      <c r="X84" s="26"/>
      <c r="Y84" s="27"/>
      <c r="Z84" s="26"/>
      <c r="AA84" s="26"/>
      <c r="AB84" s="27"/>
      <c r="AC84" s="26"/>
      <c r="AD84" s="26"/>
      <c r="AE84" s="27"/>
      <c r="AF84" s="26"/>
      <c r="AG84" s="26"/>
      <c r="AH84" s="27"/>
      <c r="AI84" s="26"/>
      <c r="AJ84" s="27"/>
      <c r="AK84" s="26"/>
      <c r="AL84" s="26"/>
      <c r="AM84" s="26"/>
    </row>
    <row r="85" spans="1:39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7"/>
      <c r="O85" s="28"/>
      <c r="P85" s="26"/>
      <c r="Q85" s="27"/>
      <c r="R85" s="27"/>
      <c r="S85" s="27"/>
      <c r="T85" s="27"/>
      <c r="U85" s="26"/>
      <c r="V85" s="26"/>
      <c r="W85" s="26"/>
      <c r="X85" s="26"/>
      <c r="Y85" s="27"/>
      <c r="Z85" s="26"/>
      <c r="AA85" s="26"/>
      <c r="AB85" s="27"/>
      <c r="AC85" s="26"/>
      <c r="AD85" s="26"/>
      <c r="AE85" s="27"/>
      <c r="AF85" s="26"/>
      <c r="AG85" s="26"/>
      <c r="AH85" s="27"/>
      <c r="AI85" s="26"/>
      <c r="AJ85" s="27"/>
      <c r="AK85" s="26"/>
      <c r="AL85" s="26"/>
      <c r="AM85" s="26"/>
    </row>
    <row r="86" spans="1:39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7"/>
      <c r="O86" s="28"/>
      <c r="P86" s="26"/>
      <c r="Q86" s="27"/>
      <c r="R86" s="27"/>
      <c r="S86" s="27"/>
      <c r="T86" s="27"/>
      <c r="U86" s="26"/>
      <c r="V86" s="26"/>
      <c r="W86" s="26"/>
      <c r="X86" s="26"/>
      <c r="Y86" s="27"/>
      <c r="Z86" s="26"/>
      <c r="AA86" s="26"/>
      <c r="AB86" s="27"/>
      <c r="AC86" s="26"/>
      <c r="AD86" s="26"/>
      <c r="AE86" s="27"/>
      <c r="AF86" s="26"/>
      <c r="AG86" s="26"/>
      <c r="AH86" s="27"/>
      <c r="AI86" s="26"/>
      <c r="AJ86" s="27"/>
      <c r="AK86" s="26"/>
      <c r="AL86" s="26"/>
      <c r="AM86" s="26"/>
    </row>
    <row r="87" spans="1:39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  <c r="O87" s="28"/>
      <c r="P87" s="26"/>
      <c r="Q87" s="27"/>
      <c r="R87" s="27"/>
      <c r="S87" s="27"/>
      <c r="T87" s="27"/>
      <c r="U87" s="26"/>
      <c r="V87" s="26"/>
      <c r="W87" s="26"/>
      <c r="X87" s="26"/>
      <c r="Y87" s="27"/>
      <c r="Z87" s="26"/>
      <c r="AA87" s="26"/>
      <c r="AB87" s="27"/>
      <c r="AC87" s="26"/>
      <c r="AD87" s="26"/>
      <c r="AE87" s="27"/>
      <c r="AF87" s="26"/>
      <c r="AG87" s="26"/>
      <c r="AH87" s="27"/>
      <c r="AI87" s="26"/>
      <c r="AJ87" s="27"/>
      <c r="AK87" s="26"/>
      <c r="AL87" s="26"/>
      <c r="AM87" s="26"/>
    </row>
    <row r="88" spans="1:39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  <c r="O88" s="28"/>
      <c r="P88" s="26"/>
      <c r="Q88" s="27"/>
      <c r="R88" s="27"/>
      <c r="S88" s="27"/>
      <c r="T88" s="27"/>
      <c r="U88" s="26"/>
      <c r="V88" s="26"/>
      <c r="W88" s="26"/>
      <c r="X88" s="26"/>
      <c r="Y88" s="27"/>
      <c r="Z88" s="26"/>
      <c r="AA88" s="26"/>
      <c r="AB88" s="27"/>
      <c r="AC88" s="26"/>
      <c r="AD88" s="26"/>
      <c r="AE88" s="27"/>
      <c r="AF88" s="26"/>
      <c r="AG88" s="26"/>
      <c r="AH88" s="27"/>
      <c r="AI88" s="26"/>
      <c r="AJ88" s="27"/>
      <c r="AK88" s="26"/>
      <c r="AL88" s="26"/>
      <c r="AM88" s="26"/>
    </row>
    <row r="89" spans="1:39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  <c r="O89" s="28"/>
      <c r="P89" s="26"/>
      <c r="Q89" s="27"/>
      <c r="R89" s="27"/>
      <c r="S89" s="27"/>
      <c r="T89" s="27"/>
      <c r="U89" s="26"/>
      <c r="V89" s="26"/>
      <c r="W89" s="26"/>
      <c r="X89" s="26"/>
      <c r="Y89" s="27"/>
      <c r="Z89" s="26"/>
      <c r="AA89" s="26"/>
      <c r="AB89" s="27"/>
      <c r="AC89" s="26"/>
      <c r="AD89" s="26"/>
      <c r="AE89" s="27"/>
      <c r="AF89" s="26"/>
      <c r="AG89" s="26"/>
      <c r="AH89" s="27"/>
      <c r="AI89" s="26"/>
      <c r="AJ89" s="27"/>
      <c r="AK89" s="26"/>
      <c r="AL89" s="26"/>
      <c r="AM89" s="26"/>
    </row>
    <row r="90" spans="1:39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  <c r="O90" s="28"/>
      <c r="P90" s="26"/>
      <c r="Q90" s="27"/>
      <c r="R90" s="27"/>
      <c r="S90" s="27"/>
      <c r="T90" s="27"/>
      <c r="U90" s="26"/>
      <c r="V90" s="26"/>
      <c r="W90" s="26"/>
      <c r="X90" s="26"/>
      <c r="Y90" s="27"/>
      <c r="Z90" s="26"/>
      <c r="AA90" s="26"/>
      <c r="AB90" s="27"/>
      <c r="AC90" s="26"/>
      <c r="AD90" s="26"/>
      <c r="AE90" s="27"/>
      <c r="AF90" s="26"/>
      <c r="AG90" s="26"/>
      <c r="AH90" s="27"/>
      <c r="AI90" s="26"/>
      <c r="AJ90" s="27"/>
      <c r="AK90" s="26"/>
      <c r="AL90" s="26"/>
      <c r="AM90" s="26"/>
    </row>
    <row r="91" spans="1:39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  <c r="O91" s="28"/>
      <c r="P91" s="26"/>
      <c r="Q91" s="27"/>
      <c r="R91" s="27"/>
      <c r="S91" s="27"/>
      <c r="T91" s="27"/>
      <c r="U91" s="26"/>
      <c r="V91" s="26"/>
      <c r="W91" s="26"/>
      <c r="X91" s="26"/>
      <c r="Y91" s="27"/>
      <c r="Z91" s="26"/>
      <c r="AA91" s="26"/>
      <c r="AB91" s="27"/>
      <c r="AC91" s="26"/>
      <c r="AD91" s="26"/>
      <c r="AE91" s="27"/>
      <c r="AF91" s="26"/>
      <c r="AG91" s="26"/>
      <c r="AH91" s="27"/>
      <c r="AI91" s="26"/>
      <c r="AJ91" s="27"/>
      <c r="AK91" s="26"/>
      <c r="AL91" s="26"/>
      <c r="AM91" s="26"/>
    </row>
    <row r="92" spans="1:39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  <c r="O92" s="28"/>
      <c r="P92" s="26"/>
      <c r="Q92" s="27"/>
      <c r="R92" s="27"/>
      <c r="S92" s="27"/>
      <c r="T92" s="27"/>
      <c r="U92" s="26"/>
      <c r="V92" s="26"/>
      <c r="W92" s="26"/>
      <c r="X92" s="26"/>
      <c r="Y92" s="27"/>
      <c r="Z92" s="26"/>
      <c r="AA92" s="26"/>
      <c r="AB92" s="27"/>
      <c r="AC92" s="26"/>
      <c r="AD92" s="26"/>
      <c r="AE92" s="27"/>
      <c r="AF92" s="26"/>
      <c r="AG92" s="26"/>
      <c r="AH92" s="27"/>
      <c r="AI92" s="26"/>
      <c r="AJ92" s="27"/>
      <c r="AK92" s="26"/>
      <c r="AL92" s="26"/>
      <c r="AM92" s="26"/>
    </row>
    <row r="93" spans="1:39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  <c r="O93" s="28"/>
      <c r="P93" s="26"/>
      <c r="Q93" s="27"/>
      <c r="R93" s="27"/>
      <c r="S93" s="27"/>
      <c r="T93" s="27"/>
      <c r="U93" s="26"/>
      <c r="V93" s="26"/>
      <c r="W93" s="26"/>
      <c r="X93" s="26"/>
      <c r="Y93" s="27"/>
      <c r="Z93" s="26"/>
      <c r="AA93" s="26"/>
      <c r="AB93" s="27"/>
      <c r="AC93" s="26"/>
      <c r="AD93" s="26"/>
      <c r="AE93" s="27"/>
      <c r="AF93" s="26"/>
      <c r="AG93" s="26"/>
      <c r="AH93" s="27"/>
      <c r="AI93" s="26"/>
      <c r="AJ93" s="27"/>
      <c r="AK93" s="26"/>
      <c r="AL93" s="26"/>
      <c r="AM93" s="26"/>
    </row>
    <row r="94" spans="1:39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8"/>
      <c r="P94" s="26"/>
      <c r="Q94" s="27"/>
      <c r="R94" s="27"/>
      <c r="S94" s="27"/>
      <c r="T94" s="27"/>
      <c r="U94" s="26"/>
      <c r="V94" s="26"/>
      <c r="W94" s="26"/>
      <c r="X94" s="26"/>
      <c r="Y94" s="27"/>
      <c r="Z94" s="26"/>
      <c r="AA94" s="26"/>
      <c r="AB94" s="27"/>
      <c r="AC94" s="26"/>
      <c r="AD94" s="26"/>
      <c r="AE94" s="27"/>
      <c r="AF94" s="26"/>
      <c r="AG94" s="26"/>
      <c r="AH94" s="27"/>
      <c r="AI94" s="26"/>
      <c r="AJ94" s="27"/>
      <c r="AK94" s="26"/>
      <c r="AL94" s="26"/>
      <c r="AM94" s="26"/>
    </row>
    <row r="95" spans="1:39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/>
      <c r="O95" s="28"/>
      <c r="P95" s="26"/>
      <c r="Q95" s="27"/>
      <c r="R95" s="27"/>
      <c r="S95" s="27"/>
      <c r="T95" s="27"/>
      <c r="U95" s="26"/>
      <c r="V95" s="26"/>
      <c r="W95" s="26"/>
      <c r="X95" s="26"/>
      <c r="Y95" s="27"/>
      <c r="Z95" s="26"/>
      <c r="AA95" s="26"/>
      <c r="AB95" s="27"/>
      <c r="AC95" s="26"/>
      <c r="AD95" s="26"/>
      <c r="AE95" s="27"/>
      <c r="AF95" s="26"/>
      <c r="AG95" s="26"/>
      <c r="AH95" s="27"/>
      <c r="AI95" s="26"/>
      <c r="AJ95" s="27"/>
      <c r="AK95" s="26"/>
      <c r="AL95" s="26"/>
      <c r="AM95" s="26"/>
    </row>
    <row r="96" spans="1:39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7"/>
      <c r="O96" s="28"/>
      <c r="P96" s="26"/>
      <c r="Q96" s="27"/>
      <c r="R96" s="27"/>
      <c r="S96" s="27"/>
      <c r="T96" s="27"/>
      <c r="U96" s="26"/>
      <c r="V96" s="26"/>
      <c r="W96" s="26"/>
      <c r="X96" s="26"/>
      <c r="Y96" s="27"/>
      <c r="Z96" s="26"/>
      <c r="AA96" s="26"/>
      <c r="AB96" s="27"/>
      <c r="AC96" s="26"/>
      <c r="AD96" s="26"/>
      <c r="AE96" s="27"/>
      <c r="AF96" s="26"/>
      <c r="AG96" s="26"/>
      <c r="AH96" s="27"/>
      <c r="AI96" s="26"/>
      <c r="AJ96" s="27"/>
      <c r="AK96" s="26"/>
      <c r="AL96" s="26"/>
      <c r="AM96" s="26"/>
    </row>
    <row r="97" spans="1:39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7"/>
      <c r="O97" s="28"/>
      <c r="P97" s="26"/>
      <c r="Q97" s="27"/>
      <c r="R97" s="27"/>
      <c r="S97" s="27"/>
      <c r="T97" s="27"/>
      <c r="U97" s="26"/>
      <c r="V97" s="26"/>
      <c r="W97" s="26"/>
      <c r="X97" s="26"/>
      <c r="Y97" s="27"/>
      <c r="Z97" s="26"/>
      <c r="AA97" s="26"/>
      <c r="AB97" s="27"/>
      <c r="AC97" s="26"/>
      <c r="AD97" s="26"/>
      <c r="AE97" s="27"/>
      <c r="AF97" s="26"/>
      <c r="AG97" s="26"/>
      <c r="AH97" s="27"/>
      <c r="AI97" s="26"/>
      <c r="AJ97" s="27"/>
      <c r="AK97" s="26"/>
      <c r="AL97" s="26"/>
      <c r="AM97" s="26"/>
    </row>
    <row r="98" spans="1:39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7"/>
      <c r="O98" s="28"/>
      <c r="P98" s="26"/>
      <c r="Q98" s="27"/>
      <c r="R98" s="27"/>
      <c r="S98" s="27"/>
      <c r="T98" s="27"/>
      <c r="U98" s="26"/>
      <c r="V98" s="26"/>
      <c r="W98" s="26"/>
      <c r="X98" s="26"/>
      <c r="Y98" s="27"/>
      <c r="Z98" s="26"/>
      <c r="AA98" s="26"/>
      <c r="AB98" s="27"/>
      <c r="AC98" s="26"/>
      <c r="AD98" s="26"/>
      <c r="AE98" s="27"/>
      <c r="AF98" s="26"/>
      <c r="AG98" s="26"/>
      <c r="AH98" s="27"/>
      <c r="AI98" s="26"/>
      <c r="AJ98" s="27"/>
      <c r="AK98" s="26"/>
      <c r="AL98" s="26"/>
      <c r="AM98" s="26"/>
    </row>
    <row r="99" spans="1:39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8"/>
      <c r="P99" s="26"/>
      <c r="Q99" s="27"/>
      <c r="R99" s="27"/>
      <c r="S99" s="27"/>
      <c r="T99" s="27"/>
      <c r="U99" s="26"/>
      <c r="V99" s="26"/>
      <c r="W99" s="26"/>
      <c r="X99" s="26"/>
      <c r="Y99" s="27"/>
      <c r="Z99" s="26"/>
      <c r="AA99" s="26"/>
      <c r="AB99" s="27"/>
      <c r="AC99" s="26"/>
      <c r="AD99" s="26"/>
      <c r="AE99" s="27"/>
      <c r="AF99" s="26"/>
      <c r="AG99" s="26"/>
      <c r="AH99" s="27"/>
      <c r="AI99" s="26"/>
      <c r="AJ99" s="27"/>
      <c r="AK99" s="26"/>
      <c r="AL99" s="26"/>
      <c r="AM99" s="26"/>
    </row>
    <row r="100" spans="1:39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7"/>
      <c r="O100" s="28"/>
      <c r="P100" s="26"/>
      <c r="Q100" s="27"/>
      <c r="R100" s="27"/>
      <c r="S100" s="27"/>
      <c r="T100" s="27"/>
      <c r="U100" s="26"/>
      <c r="V100" s="26"/>
      <c r="W100" s="26"/>
      <c r="X100" s="26"/>
      <c r="Y100" s="27"/>
      <c r="Z100" s="26"/>
      <c r="AA100" s="26"/>
      <c r="AB100" s="27"/>
      <c r="AC100" s="26"/>
      <c r="AD100" s="26"/>
      <c r="AE100" s="27"/>
      <c r="AF100" s="26"/>
      <c r="AG100" s="26"/>
      <c r="AH100" s="27"/>
      <c r="AI100" s="26"/>
      <c r="AJ100" s="27"/>
      <c r="AK100" s="26"/>
      <c r="AL100" s="26"/>
      <c r="AM100" s="26"/>
    </row>
    <row r="101" spans="1:39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7"/>
      <c r="O101" s="28"/>
      <c r="P101" s="26"/>
      <c r="Q101" s="27"/>
      <c r="R101" s="27"/>
      <c r="S101" s="27"/>
      <c r="T101" s="27"/>
      <c r="U101" s="26"/>
      <c r="V101" s="26"/>
      <c r="W101" s="26"/>
      <c r="X101" s="26"/>
      <c r="Y101" s="27"/>
      <c r="Z101" s="26"/>
      <c r="AA101" s="26"/>
      <c r="AB101" s="27"/>
      <c r="AC101" s="26"/>
      <c r="AD101" s="26"/>
      <c r="AE101" s="27"/>
      <c r="AF101" s="26"/>
      <c r="AG101" s="26"/>
      <c r="AH101" s="27"/>
      <c r="AI101" s="26"/>
      <c r="AJ101" s="27"/>
      <c r="AK101" s="26"/>
      <c r="AL101" s="26"/>
      <c r="AM101" s="26"/>
    </row>
    <row r="102" spans="1:39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7"/>
      <c r="O102" s="28"/>
      <c r="P102" s="26"/>
      <c r="Q102" s="27"/>
      <c r="R102" s="27"/>
      <c r="S102" s="27"/>
      <c r="T102" s="27"/>
      <c r="U102" s="26"/>
      <c r="V102" s="26"/>
      <c r="W102" s="26"/>
      <c r="X102" s="26"/>
      <c r="Y102" s="27"/>
      <c r="Z102" s="26"/>
      <c r="AA102" s="26"/>
      <c r="AB102" s="27"/>
      <c r="AC102" s="26"/>
      <c r="AD102" s="26"/>
      <c r="AE102" s="27"/>
      <c r="AF102" s="26"/>
      <c r="AG102" s="26"/>
      <c r="AH102" s="27"/>
      <c r="AI102" s="26"/>
      <c r="AJ102" s="27"/>
      <c r="AK102" s="26"/>
      <c r="AL102" s="26"/>
      <c r="AM102" s="26"/>
    </row>
    <row r="103" spans="1:39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7"/>
      <c r="O103" s="28"/>
      <c r="P103" s="26"/>
      <c r="Q103" s="27"/>
      <c r="R103" s="27"/>
      <c r="S103" s="27"/>
      <c r="T103" s="27"/>
      <c r="U103" s="26"/>
      <c r="V103" s="26"/>
      <c r="W103" s="26"/>
      <c r="X103" s="26"/>
      <c r="Y103" s="27"/>
      <c r="Z103" s="26"/>
      <c r="AA103" s="26"/>
      <c r="AB103" s="27"/>
      <c r="AC103" s="26"/>
      <c r="AD103" s="26"/>
      <c r="AE103" s="27"/>
      <c r="AF103" s="26"/>
      <c r="AG103" s="26"/>
      <c r="AH103" s="27"/>
      <c r="AI103" s="26"/>
      <c r="AJ103" s="27"/>
      <c r="AK103" s="26"/>
      <c r="AL103" s="26"/>
      <c r="AM103" s="26"/>
    </row>
    <row r="104" spans="1:39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  <c r="O104" s="28"/>
      <c r="P104" s="26"/>
      <c r="Q104" s="27"/>
      <c r="R104" s="27"/>
      <c r="S104" s="27"/>
      <c r="T104" s="27"/>
      <c r="U104" s="26"/>
      <c r="V104" s="26"/>
      <c r="W104" s="26"/>
      <c r="X104" s="26"/>
      <c r="Y104" s="27"/>
      <c r="Z104" s="26"/>
      <c r="AA104" s="26"/>
      <c r="AB104" s="27"/>
      <c r="AC104" s="26"/>
      <c r="AD104" s="26"/>
      <c r="AE104" s="27"/>
      <c r="AF104" s="26"/>
      <c r="AG104" s="26"/>
      <c r="AH104" s="27"/>
      <c r="AI104" s="26"/>
      <c r="AJ104" s="27"/>
      <c r="AK104" s="26"/>
      <c r="AL104" s="26"/>
      <c r="AM104" s="26"/>
    </row>
    <row r="105" spans="1:39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7"/>
      <c r="O105" s="28"/>
      <c r="P105" s="26"/>
      <c r="Q105" s="27"/>
      <c r="R105" s="27"/>
      <c r="S105" s="27"/>
      <c r="T105" s="27"/>
      <c r="U105" s="26"/>
      <c r="V105" s="26"/>
      <c r="W105" s="26"/>
      <c r="X105" s="26"/>
      <c r="Y105" s="27"/>
      <c r="Z105" s="26"/>
      <c r="AA105" s="26"/>
      <c r="AB105" s="27"/>
      <c r="AC105" s="26"/>
      <c r="AD105" s="26"/>
      <c r="AE105" s="27"/>
      <c r="AF105" s="26"/>
      <c r="AG105" s="26"/>
      <c r="AH105" s="27"/>
      <c r="AI105" s="26"/>
      <c r="AJ105" s="27"/>
      <c r="AK105" s="26"/>
      <c r="AL105" s="26"/>
      <c r="AM105" s="26"/>
    </row>
    <row r="106" spans="1:39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  <c r="O106" s="28"/>
      <c r="P106" s="26"/>
      <c r="Q106" s="27"/>
      <c r="R106" s="27"/>
      <c r="S106" s="27"/>
      <c r="T106" s="27"/>
      <c r="U106" s="26"/>
      <c r="V106" s="26"/>
      <c r="W106" s="26"/>
      <c r="X106" s="26"/>
      <c r="Y106" s="27"/>
      <c r="Z106" s="26"/>
      <c r="AA106" s="26"/>
      <c r="AB106" s="27"/>
      <c r="AC106" s="26"/>
      <c r="AD106" s="26"/>
      <c r="AE106" s="27"/>
      <c r="AF106" s="26"/>
      <c r="AG106" s="26"/>
      <c r="AH106" s="27"/>
      <c r="AI106" s="26"/>
      <c r="AJ106" s="27"/>
      <c r="AK106" s="26"/>
      <c r="AL106" s="26"/>
      <c r="AM106" s="26"/>
    </row>
    <row r="107" spans="1:39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/>
      <c r="O107" s="28"/>
      <c r="P107" s="26"/>
      <c r="Q107" s="27"/>
      <c r="R107" s="27"/>
      <c r="S107" s="27"/>
      <c r="T107" s="27"/>
      <c r="U107" s="26"/>
      <c r="V107" s="26"/>
      <c r="W107" s="26"/>
      <c r="X107" s="26"/>
      <c r="Y107" s="27"/>
      <c r="Z107" s="26"/>
      <c r="AA107" s="26"/>
      <c r="AB107" s="27"/>
      <c r="AC107" s="26"/>
      <c r="AD107" s="26"/>
      <c r="AE107" s="27"/>
      <c r="AF107" s="26"/>
      <c r="AG107" s="26"/>
      <c r="AH107" s="27"/>
      <c r="AI107" s="26"/>
      <c r="AJ107" s="27"/>
      <c r="AK107" s="26"/>
      <c r="AL107" s="26"/>
      <c r="AM107" s="26"/>
    </row>
    <row r="108" spans="1:39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  <c r="O108" s="28"/>
      <c r="P108" s="26"/>
      <c r="Q108" s="27"/>
      <c r="R108" s="27"/>
      <c r="S108" s="27"/>
      <c r="T108" s="27"/>
      <c r="U108" s="26"/>
      <c r="V108" s="26"/>
      <c r="W108" s="26"/>
      <c r="X108" s="26"/>
      <c r="Y108" s="27"/>
      <c r="Z108" s="26"/>
      <c r="AA108" s="26"/>
      <c r="AB108" s="27"/>
      <c r="AC108" s="26"/>
      <c r="AD108" s="26"/>
      <c r="AE108" s="27"/>
      <c r="AF108" s="26"/>
      <c r="AG108" s="26"/>
      <c r="AH108" s="27"/>
      <c r="AI108" s="26"/>
      <c r="AJ108" s="27"/>
      <c r="AK108" s="26"/>
      <c r="AL108" s="26"/>
      <c r="AM108" s="26"/>
    </row>
    <row r="109" spans="1:39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  <c r="O109" s="28"/>
      <c r="P109" s="26"/>
      <c r="Q109" s="27"/>
      <c r="R109" s="27"/>
      <c r="S109" s="27"/>
      <c r="T109" s="27"/>
      <c r="U109" s="26"/>
      <c r="V109" s="26"/>
      <c r="W109" s="26"/>
      <c r="X109" s="26"/>
      <c r="Y109" s="27"/>
      <c r="Z109" s="26"/>
      <c r="AA109" s="26"/>
      <c r="AB109" s="27"/>
      <c r="AC109" s="26"/>
      <c r="AD109" s="26"/>
      <c r="AE109" s="27"/>
      <c r="AF109" s="26"/>
      <c r="AG109" s="26"/>
      <c r="AH109" s="27"/>
      <c r="AI109" s="26"/>
      <c r="AJ109" s="27"/>
      <c r="AK109" s="26"/>
      <c r="AL109" s="26"/>
      <c r="AM109" s="26"/>
    </row>
    <row r="110" spans="1:39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  <c r="O110" s="28"/>
      <c r="P110" s="26"/>
      <c r="Q110" s="27"/>
      <c r="R110" s="27"/>
      <c r="S110" s="27"/>
      <c r="T110" s="27"/>
      <c r="U110" s="26"/>
      <c r="V110" s="26"/>
      <c r="W110" s="26"/>
      <c r="X110" s="26"/>
      <c r="Y110" s="27"/>
      <c r="Z110" s="26"/>
      <c r="AA110" s="26"/>
      <c r="AB110" s="27"/>
      <c r="AC110" s="26"/>
      <c r="AD110" s="26"/>
      <c r="AE110" s="27"/>
      <c r="AF110" s="26"/>
      <c r="AG110" s="26"/>
      <c r="AH110" s="27"/>
      <c r="AI110" s="26"/>
      <c r="AJ110" s="27"/>
      <c r="AK110" s="26"/>
      <c r="AL110" s="26"/>
      <c r="AM110" s="26"/>
    </row>
    <row r="111" spans="1:39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  <c r="O111" s="28"/>
      <c r="P111" s="26"/>
      <c r="Q111" s="27"/>
      <c r="R111" s="27"/>
      <c r="S111" s="27"/>
      <c r="T111" s="27"/>
      <c r="U111" s="26"/>
      <c r="V111" s="26"/>
      <c r="W111" s="26"/>
      <c r="X111" s="26"/>
      <c r="Y111" s="27"/>
      <c r="Z111" s="26"/>
      <c r="AA111" s="26"/>
      <c r="AB111" s="27"/>
      <c r="AC111" s="26"/>
      <c r="AD111" s="26"/>
      <c r="AE111" s="27"/>
      <c r="AF111" s="26"/>
      <c r="AG111" s="26"/>
      <c r="AH111" s="27"/>
      <c r="AI111" s="26"/>
      <c r="AJ111" s="27"/>
      <c r="AK111" s="26"/>
      <c r="AL111" s="26"/>
      <c r="AM111" s="26"/>
    </row>
    <row r="112" spans="1:39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  <c r="O112" s="28"/>
      <c r="P112" s="26"/>
      <c r="Q112" s="27"/>
      <c r="R112" s="27"/>
      <c r="S112" s="27"/>
      <c r="T112" s="27"/>
      <c r="U112" s="26"/>
      <c r="V112" s="26"/>
      <c r="W112" s="26"/>
      <c r="X112" s="26"/>
      <c r="Y112" s="27"/>
      <c r="Z112" s="26"/>
      <c r="AA112" s="26"/>
      <c r="AB112" s="27"/>
      <c r="AC112" s="26"/>
      <c r="AD112" s="26"/>
      <c r="AE112" s="27"/>
      <c r="AF112" s="26"/>
      <c r="AG112" s="26"/>
      <c r="AH112" s="27"/>
      <c r="AI112" s="26"/>
      <c r="AJ112" s="27"/>
      <c r="AK112" s="26"/>
      <c r="AL112" s="26"/>
      <c r="AM112" s="26"/>
    </row>
    <row r="113" spans="1:39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  <c r="O113" s="28"/>
      <c r="P113" s="26"/>
      <c r="Q113" s="27"/>
      <c r="R113" s="27"/>
      <c r="S113" s="27"/>
      <c r="T113" s="27"/>
      <c r="U113" s="26"/>
      <c r="V113" s="26"/>
      <c r="W113" s="26"/>
      <c r="X113" s="26"/>
      <c r="Y113" s="27"/>
      <c r="Z113" s="26"/>
      <c r="AA113" s="26"/>
      <c r="AB113" s="27"/>
      <c r="AC113" s="26"/>
      <c r="AD113" s="26"/>
      <c r="AE113" s="27"/>
      <c r="AF113" s="26"/>
      <c r="AG113" s="26"/>
      <c r="AH113" s="27"/>
      <c r="AI113" s="26"/>
      <c r="AJ113" s="27"/>
      <c r="AK113" s="26"/>
      <c r="AL113" s="26"/>
      <c r="AM113" s="26"/>
    </row>
    <row r="114" spans="1:39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  <c r="O114" s="28"/>
      <c r="P114" s="26"/>
      <c r="Q114" s="27"/>
      <c r="R114" s="27"/>
      <c r="S114" s="27"/>
      <c r="T114" s="27"/>
      <c r="U114" s="26"/>
      <c r="V114" s="26"/>
      <c r="W114" s="26"/>
      <c r="X114" s="26"/>
      <c r="Y114" s="27"/>
      <c r="Z114" s="26"/>
      <c r="AA114" s="26"/>
      <c r="AB114" s="27"/>
      <c r="AC114" s="26"/>
      <c r="AD114" s="26"/>
      <c r="AE114" s="27"/>
      <c r="AF114" s="26"/>
      <c r="AG114" s="26"/>
      <c r="AH114" s="27"/>
      <c r="AI114" s="26"/>
      <c r="AJ114" s="27"/>
      <c r="AK114" s="26"/>
      <c r="AL114" s="26"/>
      <c r="AM114" s="26"/>
    </row>
    <row r="115" spans="1:39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  <c r="O115" s="28"/>
      <c r="P115" s="26"/>
      <c r="Q115" s="27"/>
      <c r="R115" s="27"/>
      <c r="S115" s="27"/>
      <c r="T115" s="27"/>
      <c r="U115" s="26"/>
      <c r="V115" s="26"/>
      <c r="W115" s="26"/>
      <c r="X115" s="26"/>
      <c r="Y115" s="27"/>
      <c r="Z115" s="26"/>
      <c r="AA115" s="26"/>
      <c r="AB115" s="27"/>
      <c r="AC115" s="26"/>
      <c r="AD115" s="26"/>
      <c r="AE115" s="27"/>
      <c r="AF115" s="26"/>
      <c r="AG115" s="26"/>
      <c r="AH115" s="27"/>
      <c r="AI115" s="26"/>
      <c r="AJ115" s="27"/>
      <c r="AK115" s="26"/>
      <c r="AL115" s="26"/>
      <c r="AM115" s="26"/>
    </row>
    <row r="116" spans="1:39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28"/>
      <c r="P116" s="26"/>
      <c r="Q116" s="27"/>
      <c r="R116" s="27"/>
      <c r="S116" s="27"/>
      <c r="T116" s="27"/>
      <c r="U116" s="26"/>
      <c r="V116" s="26"/>
      <c r="W116" s="26"/>
      <c r="X116" s="26"/>
      <c r="Y116" s="27"/>
      <c r="Z116" s="26"/>
      <c r="AA116" s="26"/>
      <c r="AB116" s="27"/>
      <c r="AC116" s="26"/>
      <c r="AD116" s="26"/>
      <c r="AE116" s="27"/>
      <c r="AF116" s="26"/>
      <c r="AG116" s="26"/>
      <c r="AH116" s="27"/>
      <c r="AI116" s="26"/>
      <c r="AJ116" s="27"/>
      <c r="AK116" s="26"/>
      <c r="AL116" s="26"/>
      <c r="AM116" s="26"/>
    </row>
    <row r="117" spans="1:39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  <c r="O117" s="28"/>
      <c r="P117" s="26"/>
      <c r="Q117" s="27"/>
      <c r="R117" s="27"/>
      <c r="S117" s="27"/>
      <c r="T117" s="27"/>
      <c r="U117" s="26"/>
      <c r="V117" s="26"/>
      <c r="W117" s="26"/>
      <c r="X117" s="26"/>
      <c r="Y117" s="27"/>
      <c r="Z117" s="26"/>
      <c r="AA117" s="26"/>
      <c r="AB117" s="27"/>
      <c r="AC117" s="26"/>
      <c r="AD117" s="26"/>
      <c r="AE117" s="27"/>
      <c r="AF117" s="26"/>
      <c r="AG117" s="26"/>
      <c r="AH117" s="27"/>
      <c r="AI117" s="26"/>
      <c r="AJ117" s="27"/>
      <c r="AK117" s="26"/>
      <c r="AL117" s="26"/>
      <c r="AM117" s="26"/>
    </row>
    <row r="118" spans="1:39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8"/>
      <c r="P118" s="26"/>
      <c r="Q118" s="27"/>
      <c r="R118" s="27"/>
      <c r="S118" s="27"/>
      <c r="T118" s="27"/>
      <c r="U118" s="26"/>
      <c r="V118" s="26"/>
      <c r="W118" s="26"/>
      <c r="X118" s="26"/>
      <c r="Y118" s="27"/>
      <c r="Z118" s="26"/>
      <c r="AA118" s="26"/>
      <c r="AB118" s="27"/>
      <c r="AC118" s="26"/>
      <c r="AD118" s="26"/>
      <c r="AE118" s="27"/>
      <c r="AF118" s="26"/>
      <c r="AG118" s="26"/>
      <c r="AH118" s="27"/>
      <c r="AI118" s="26"/>
      <c r="AJ118" s="27"/>
      <c r="AK118" s="26"/>
      <c r="AL118" s="26"/>
      <c r="AM118" s="26"/>
    </row>
    <row r="119" spans="1:39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8"/>
      <c r="P119" s="26"/>
      <c r="Q119" s="27"/>
      <c r="R119" s="27"/>
      <c r="S119" s="27"/>
      <c r="T119" s="27"/>
      <c r="U119" s="26"/>
      <c r="V119" s="26"/>
      <c r="W119" s="26"/>
      <c r="X119" s="26"/>
      <c r="Y119" s="27"/>
      <c r="Z119" s="26"/>
      <c r="AA119" s="26"/>
      <c r="AB119" s="27"/>
      <c r="AC119" s="26"/>
      <c r="AD119" s="26"/>
      <c r="AE119" s="27"/>
      <c r="AF119" s="26"/>
      <c r="AG119" s="26"/>
      <c r="AH119" s="27"/>
      <c r="AI119" s="26"/>
      <c r="AJ119" s="27"/>
      <c r="AK119" s="26"/>
      <c r="AL119" s="26"/>
      <c r="AM119" s="26"/>
    </row>
    <row r="120" spans="1:39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8"/>
      <c r="P120" s="26"/>
      <c r="Q120" s="27"/>
      <c r="R120" s="27"/>
      <c r="S120" s="27"/>
      <c r="T120" s="27"/>
      <c r="U120" s="26"/>
      <c r="V120" s="26"/>
      <c r="W120" s="26"/>
      <c r="X120" s="26"/>
      <c r="Y120" s="27"/>
      <c r="Z120" s="26"/>
      <c r="AA120" s="26"/>
      <c r="AB120" s="27"/>
      <c r="AC120" s="26"/>
      <c r="AD120" s="26"/>
      <c r="AE120" s="27"/>
      <c r="AF120" s="26"/>
      <c r="AG120" s="26"/>
      <c r="AH120" s="27"/>
      <c r="AI120" s="26"/>
      <c r="AJ120" s="27"/>
      <c r="AK120" s="26"/>
      <c r="AL120" s="26"/>
      <c r="AM120" s="26"/>
    </row>
    <row r="121" spans="1:39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  <c r="O121" s="28"/>
      <c r="P121" s="26"/>
      <c r="Q121" s="27"/>
      <c r="R121" s="27"/>
      <c r="S121" s="27"/>
      <c r="T121" s="27"/>
      <c r="U121" s="26"/>
      <c r="V121" s="26"/>
      <c r="W121" s="26"/>
      <c r="X121" s="26"/>
      <c r="Y121" s="27"/>
      <c r="Z121" s="26"/>
      <c r="AA121" s="26"/>
      <c r="AB121" s="27"/>
      <c r="AC121" s="26"/>
      <c r="AD121" s="26"/>
      <c r="AE121" s="27"/>
      <c r="AF121" s="26"/>
      <c r="AG121" s="26"/>
      <c r="AH121" s="27"/>
      <c r="AI121" s="26"/>
      <c r="AJ121" s="27"/>
      <c r="AK121" s="26"/>
      <c r="AL121" s="26"/>
      <c r="AM121" s="26"/>
    </row>
    <row r="122" spans="1:39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7"/>
      <c r="O122" s="28"/>
      <c r="P122" s="26"/>
      <c r="Q122" s="27"/>
      <c r="R122" s="27"/>
      <c r="S122" s="27"/>
      <c r="T122" s="27"/>
      <c r="U122" s="26"/>
      <c r="V122" s="26"/>
      <c r="W122" s="26"/>
      <c r="X122" s="26"/>
      <c r="Y122" s="27"/>
      <c r="Z122" s="26"/>
      <c r="AA122" s="26"/>
      <c r="AB122" s="27"/>
      <c r="AC122" s="26"/>
      <c r="AD122" s="26"/>
      <c r="AE122" s="27"/>
      <c r="AF122" s="26"/>
      <c r="AG122" s="26"/>
      <c r="AH122" s="27"/>
      <c r="AI122" s="26"/>
      <c r="AJ122" s="27"/>
      <c r="AK122" s="26"/>
      <c r="AL122" s="26"/>
      <c r="AM122" s="26"/>
    </row>
    <row r="123" spans="1:39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7"/>
      <c r="O123" s="28"/>
      <c r="P123" s="26"/>
      <c r="Q123" s="27"/>
      <c r="R123" s="27"/>
      <c r="S123" s="27"/>
      <c r="T123" s="27"/>
      <c r="U123" s="26"/>
      <c r="V123" s="26"/>
      <c r="W123" s="26"/>
      <c r="X123" s="26"/>
      <c r="Y123" s="27"/>
      <c r="Z123" s="26"/>
      <c r="AA123" s="26"/>
      <c r="AB123" s="27"/>
      <c r="AC123" s="26"/>
      <c r="AD123" s="26"/>
      <c r="AE123" s="27"/>
      <c r="AF123" s="26"/>
      <c r="AG123" s="26"/>
      <c r="AH123" s="27"/>
      <c r="AI123" s="26"/>
      <c r="AJ123" s="27"/>
      <c r="AK123" s="26"/>
      <c r="AL123" s="26"/>
      <c r="AM123" s="26"/>
    </row>
    <row r="124" spans="1:39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  <c r="O124" s="28"/>
      <c r="P124" s="26"/>
      <c r="Q124" s="27"/>
      <c r="R124" s="27"/>
      <c r="S124" s="27"/>
      <c r="T124" s="27"/>
      <c r="U124" s="26"/>
      <c r="V124" s="26"/>
      <c r="W124" s="26"/>
      <c r="X124" s="26"/>
      <c r="Y124" s="27"/>
      <c r="Z124" s="26"/>
      <c r="AA124" s="26"/>
      <c r="AB124" s="27"/>
      <c r="AC124" s="26"/>
      <c r="AD124" s="26"/>
      <c r="AE124" s="27"/>
      <c r="AF124" s="26"/>
      <c r="AG124" s="26"/>
      <c r="AH124" s="27"/>
      <c r="AI124" s="26"/>
      <c r="AJ124" s="27"/>
      <c r="AK124" s="26"/>
      <c r="AL124" s="26"/>
      <c r="AM124" s="26"/>
    </row>
    <row r="125" spans="1:39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  <c r="O125" s="28"/>
      <c r="P125" s="26"/>
      <c r="Q125" s="27"/>
      <c r="R125" s="27"/>
      <c r="S125" s="27"/>
      <c r="T125" s="27"/>
      <c r="U125" s="26"/>
      <c r="V125" s="26"/>
      <c r="W125" s="26"/>
      <c r="X125" s="26"/>
      <c r="Y125" s="27"/>
      <c r="Z125" s="26"/>
      <c r="AA125" s="26"/>
      <c r="AB125" s="27"/>
      <c r="AC125" s="26"/>
      <c r="AD125" s="26"/>
      <c r="AE125" s="27"/>
      <c r="AF125" s="26"/>
      <c r="AG125" s="26"/>
      <c r="AH125" s="27"/>
      <c r="AI125" s="26"/>
      <c r="AJ125" s="27"/>
      <c r="AK125" s="26"/>
      <c r="AL125" s="26"/>
      <c r="AM125" s="26"/>
    </row>
    <row r="126" spans="1:39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  <c r="O126" s="28"/>
      <c r="P126" s="26"/>
      <c r="Q126" s="27"/>
      <c r="R126" s="27"/>
      <c r="S126" s="27"/>
      <c r="T126" s="27"/>
      <c r="U126" s="26"/>
      <c r="V126" s="26"/>
      <c r="W126" s="26"/>
      <c r="X126" s="26"/>
      <c r="Y126" s="27"/>
      <c r="Z126" s="26"/>
      <c r="AA126" s="26"/>
      <c r="AB126" s="27"/>
      <c r="AC126" s="26"/>
      <c r="AD126" s="26"/>
      <c r="AE126" s="27"/>
      <c r="AF126" s="26"/>
      <c r="AG126" s="26"/>
      <c r="AH126" s="27"/>
      <c r="AI126" s="26"/>
      <c r="AJ126" s="27"/>
      <c r="AK126" s="26"/>
      <c r="AL126" s="26"/>
      <c r="AM126" s="26"/>
    </row>
    <row r="127" spans="1:39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  <c r="O127" s="28"/>
      <c r="P127" s="26"/>
      <c r="Q127" s="27"/>
      <c r="R127" s="27"/>
      <c r="S127" s="27"/>
      <c r="T127" s="27"/>
      <c r="U127" s="26"/>
      <c r="V127" s="26"/>
      <c r="W127" s="26"/>
      <c r="X127" s="26"/>
      <c r="Y127" s="27"/>
      <c r="Z127" s="26"/>
      <c r="AA127" s="26"/>
      <c r="AB127" s="27"/>
      <c r="AC127" s="26"/>
      <c r="AD127" s="26"/>
      <c r="AE127" s="27"/>
      <c r="AF127" s="26"/>
      <c r="AG127" s="26"/>
      <c r="AH127" s="27"/>
      <c r="AI127" s="26"/>
      <c r="AJ127" s="27"/>
      <c r="AK127" s="26"/>
      <c r="AL127" s="26"/>
      <c r="AM127" s="26"/>
    </row>
    <row r="128" spans="1:39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28"/>
      <c r="P128" s="26"/>
      <c r="Q128" s="27"/>
      <c r="R128" s="27"/>
      <c r="S128" s="27"/>
      <c r="T128" s="27"/>
      <c r="U128" s="26"/>
      <c r="V128" s="26"/>
      <c r="W128" s="26"/>
      <c r="X128" s="26"/>
      <c r="Y128" s="27"/>
      <c r="Z128" s="26"/>
      <c r="AA128" s="26"/>
      <c r="AB128" s="27"/>
      <c r="AC128" s="26"/>
      <c r="AD128" s="26"/>
      <c r="AE128" s="27"/>
      <c r="AF128" s="26"/>
      <c r="AG128" s="26"/>
      <c r="AH128" s="27"/>
      <c r="AI128" s="26"/>
      <c r="AJ128" s="27"/>
      <c r="AK128" s="26"/>
      <c r="AL128" s="26"/>
      <c r="AM128" s="26"/>
    </row>
    <row r="129" spans="1:39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  <c r="O129" s="28"/>
      <c r="P129" s="26"/>
      <c r="Q129" s="27"/>
      <c r="R129" s="27"/>
      <c r="S129" s="27"/>
      <c r="T129" s="27"/>
      <c r="U129" s="26"/>
      <c r="V129" s="26"/>
      <c r="W129" s="26"/>
      <c r="X129" s="26"/>
      <c r="Y129" s="27"/>
      <c r="Z129" s="26"/>
      <c r="AA129" s="26"/>
      <c r="AB129" s="27"/>
      <c r="AC129" s="26"/>
      <c r="AD129" s="26"/>
      <c r="AE129" s="27"/>
      <c r="AF129" s="26"/>
      <c r="AG129" s="26"/>
      <c r="AH129" s="27"/>
      <c r="AI129" s="26"/>
      <c r="AJ129" s="27"/>
      <c r="AK129" s="26"/>
      <c r="AL129" s="26"/>
      <c r="AM129" s="26"/>
    </row>
    <row r="130" spans="1:39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  <c r="O130" s="28"/>
      <c r="P130" s="26"/>
      <c r="Q130" s="27"/>
      <c r="R130" s="27"/>
      <c r="S130" s="27"/>
      <c r="T130" s="27"/>
      <c r="U130" s="26"/>
      <c r="V130" s="26"/>
      <c r="W130" s="26"/>
      <c r="X130" s="26"/>
      <c r="Y130" s="27"/>
      <c r="Z130" s="26"/>
      <c r="AA130" s="26"/>
      <c r="AB130" s="27"/>
      <c r="AC130" s="26"/>
      <c r="AD130" s="26"/>
      <c r="AE130" s="27"/>
      <c r="AF130" s="26"/>
      <c r="AG130" s="26"/>
      <c r="AH130" s="27"/>
      <c r="AI130" s="26"/>
      <c r="AJ130" s="27"/>
      <c r="AK130" s="26"/>
      <c r="AL130" s="26"/>
      <c r="AM130" s="26"/>
    </row>
    <row r="131" spans="1:39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8"/>
      <c r="P131" s="26"/>
      <c r="Q131" s="27"/>
      <c r="R131" s="27"/>
      <c r="S131" s="27"/>
      <c r="T131" s="27"/>
      <c r="U131" s="26"/>
      <c r="V131" s="26"/>
      <c r="W131" s="26"/>
      <c r="X131" s="26"/>
      <c r="Y131" s="27"/>
      <c r="Z131" s="26"/>
      <c r="AA131" s="26"/>
      <c r="AB131" s="27"/>
      <c r="AC131" s="26"/>
      <c r="AD131" s="26"/>
      <c r="AE131" s="27"/>
      <c r="AF131" s="26"/>
      <c r="AG131" s="26"/>
      <c r="AH131" s="27"/>
      <c r="AI131" s="26"/>
      <c r="AJ131" s="27"/>
      <c r="AK131" s="26"/>
      <c r="AL131" s="26"/>
      <c r="AM131" s="26"/>
    </row>
    <row r="132" spans="1:39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  <c r="O132" s="28"/>
      <c r="P132" s="26"/>
      <c r="Q132" s="27"/>
      <c r="R132" s="27"/>
      <c r="S132" s="27"/>
      <c r="T132" s="27"/>
      <c r="U132" s="26"/>
      <c r="V132" s="26"/>
      <c r="W132" s="26"/>
      <c r="X132" s="26"/>
      <c r="Y132" s="27"/>
      <c r="Z132" s="26"/>
      <c r="AA132" s="26"/>
      <c r="AB132" s="27"/>
      <c r="AC132" s="26"/>
      <c r="AD132" s="26"/>
      <c r="AE132" s="27"/>
      <c r="AF132" s="26"/>
      <c r="AG132" s="26"/>
      <c r="AH132" s="27"/>
      <c r="AI132" s="26"/>
      <c r="AJ132" s="27"/>
      <c r="AK132" s="26"/>
      <c r="AL132" s="26"/>
      <c r="AM132" s="26"/>
    </row>
    <row r="133" spans="1:39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  <c r="O133" s="28"/>
      <c r="P133" s="26"/>
      <c r="Q133" s="27"/>
      <c r="R133" s="27"/>
      <c r="S133" s="27"/>
      <c r="T133" s="27"/>
      <c r="U133" s="26"/>
      <c r="V133" s="26"/>
      <c r="W133" s="26"/>
      <c r="X133" s="26"/>
      <c r="Y133" s="27"/>
      <c r="Z133" s="26"/>
      <c r="AA133" s="26"/>
      <c r="AB133" s="27"/>
      <c r="AC133" s="26"/>
      <c r="AD133" s="26"/>
      <c r="AE133" s="27"/>
      <c r="AF133" s="26"/>
      <c r="AG133" s="26"/>
      <c r="AH133" s="27"/>
      <c r="AI133" s="26"/>
      <c r="AJ133" s="27"/>
      <c r="AK133" s="26"/>
      <c r="AL133" s="26"/>
      <c r="AM133" s="26"/>
    </row>
    <row r="134" spans="1:39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  <c r="O134" s="28"/>
      <c r="P134" s="26"/>
      <c r="Q134" s="27"/>
      <c r="R134" s="27"/>
      <c r="S134" s="27"/>
      <c r="T134" s="27"/>
      <c r="U134" s="26"/>
      <c r="V134" s="26"/>
      <c r="W134" s="26"/>
      <c r="X134" s="26"/>
      <c r="Y134" s="27"/>
      <c r="Z134" s="26"/>
      <c r="AA134" s="26"/>
      <c r="AB134" s="27"/>
      <c r="AC134" s="26"/>
      <c r="AD134" s="26"/>
      <c r="AE134" s="27"/>
      <c r="AF134" s="26"/>
      <c r="AG134" s="26"/>
      <c r="AH134" s="27"/>
      <c r="AI134" s="26"/>
      <c r="AJ134" s="27"/>
      <c r="AK134" s="26"/>
      <c r="AL134" s="26"/>
      <c r="AM134" s="26"/>
    </row>
    <row r="135" spans="1:39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8"/>
      <c r="P135" s="26"/>
      <c r="Q135" s="27"/>
      <c r="R135" s="27"/>
      <c r="S135" s="27"/>
      <c r="T135" s="27"/>
      <c r="U135" s="26"/>
      <c r="V135" s="26"/>
      <c r="W135" s="26"/>
      <c r="X135" s="26"/>
      <c r="Y135" s="27"/>
      <c r="Z135" s="26"/>
      <c r="AA135" s="26"/>
      <c r="AB135" s="27"/>
      <c r="AC135" s="26"/>
      <c r="AD135" s="26"/>
      <c r="AE135" s="27"/>
      <c r="AF135" s="26"/>
      <c r="AG135" s="26"/>
      <c r="AH135" s="27"/>
      <c r="AI135" s="26"/>
      <c r="AJ135" s="27"/>
      <c r="AK135" s="26"/>
      <c r="AL135" s="26"/>
      <c r="AM135" s="26"/>
    </row>
    <row r="136" spans="1:39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  <c r="O136" s="28"/>
      <c r="P136" s="26"/>
      <c r="Q136" s="27"/>
      <c r="R136" s="27"/>
      <c r="S136" s="27"/>
      <c r="T136" s="27"/>
      <c r="U136" s="26"/>
      <c r="V136" s="26"/>
      <c r="W136" s="26"/>
      <c r="X136" s="26"/>
      <c r="Y136" s="27"/>
      <c r="Z136" s="26"/>
      <c r="AA136" s="26"/>
      <c r="AB136" s="27"/>
      <c r="AC136" s="26"/>
      <c r="AD136" s="26"/>
      <c r="AE136" s="27"/>
      <c r="AF136" s="26"/>
      <c r="AG136" s="26"/>
      <c r="AH136" s="27"/>
      <c r="AI136" s="26"/>
      <c r="AJ136" s="27"/>
      <c r="AK136" s="26"/>
      <c r="AL136" s="26"/>
      <c r="AM136" s="26"/>
    </row>
    <row r="137" spans="1:39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  <c r="O137" s="28"/>
      <c r="P137" s="26"/>
      <c r="Q137" s="27"/>
      <c r="R137" s="27"/>
      <c r="S137" s="27"/>
      <c r="T137" s="27"/>
      <c r="U137" s="26"/>
      <c r="V137" s="26"/>
      <c r="W137" s="26"/>
      <c r="X137" s="26"/>
      <c r="Y137" s="27"/>
      <c r="Z137" s="26"/>
      <c r="AA137" s="26"/>
      <c r="AB137" s="27"/>
      <c r="AC137" s="26"/>
      <c r="AD137" s="26"/>
      <c r="AE137" s="27"/>
      <c r="AF137" s="26"/>
      <c r="AG137" s="26"/>
      <c r="AH137" s="27"/>
      <c r="AI137" s="26"/>
      <c r="AJ137" s="27"/>
      <c r="AK137" s="26"/>
      <c r="AL137" s="26"/>
      <c r="AM137" s="26"/>
    </row>
    <row r="138" spans="1:39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  <c r="O138" s="28"/>
      <c r="P138" s="26"/>
      <c r="Q138" s="27"/>
      <c r="R138" s="27"/>
      <c r="S138" s="27"/>
      <c r="T138" s="27"/>
      <c r="U138" s="26"/>
      <c r="V138" s="26"/>
      <c r="W138" s="26"/>
      <c r="X138" s="26"/>
      <c r="Y138" s="27"/>
      <c r="Z138" s="26"/>
      <c r="AA138" s="26"/>
      <c r="AB138" s="27"/>
      <c r="AC138" s="26"/>
      <c r="AD138" s="26"/>
      <c r="AE138" s="27"/>
      <c r="AF138" s="26"/>
      <c r="AG138" s="26"/>
      <c r="AH138" s="27"/>
      <c r="AI138" s="26"/>
      <c r="AJ138" s="27"/>
      <c r="AK138" s="26"/>
      <c r="AL138" s="26"/>
      <c r="AM138" s="26"/>
    </row>
    <row r="139" spans="1:39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8"/>
      <c r="P139" s="26"/>
      <c r="Q139" s="27"/>
      <c r="R139" s="27"/>
      <c r="S139" s="27"/>
      <c r="T139" s="27"/>
      <c r="U139" s="26"/>
      <c r="V139" s="26"/>
      <c r="W139" s="26"/>
      <c r="X139" s="26"/>
      <c r="Y139" s="27"/>
      <c r="Z139" s="26"/>
      <c r="AA139" s="26"/>
      <c r="AB139" s="27"/>
      <c r="AC139" s="26"/>
      <c r="AD139" s="26"/>
      <c r="AE139" s="27"/>
      <c r="AF139" s="26"/>
      <c r="AG139" s="26"/>
      <c r="AH139" s="27"/>
      <c r="AI139" s="26"/>
      <c r="AJ139" s="27"/>
      <c r="AK139" s="26"/>
      <c r="AL139" s="26"/>
      <c r="AM139" s="26"/>
    </row>
    <row r="140" spans="1:39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28"/>
      <c r="P140" s="26"/>
      <c r="Q140" s="27"/>
      <c r="R140" s="27"/>
      <c r="S140" s="27"/>
      <c r="T140" s="27"/>
      <c r="U140" s="26"/>
      <c r="V140" s="26"/>
      <c r="W140" s="26"/>
      <c r="X140" s="26"/>
      <c r="Y140" s="27"/>
      <c r="Z140" s="26"/>
      <c r="AA140" s="26"/>
      <c r="AB140" s="27"/>
      <c r="AC140" s="26"/>
      <c r="AD140" s="26"/>
      <c r="AE140" s="27"/>
      <c r="AF140" s="26"/>
      <c r="AG140" s="26"/>
      <c r="AH140" s="27"/>
      <c r="AI140" s="26"/>
      <c r="AJ140" s="27"/>
      <c r="AK140" s="26"/>
      <c r="AL140" s="26"/>
      <c r="AM140" s="26"/>
    </row>
    <row r="141" spans="1:39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  <c r="O141" s="28"/>
      <c r="P141" s="26"/>
      <c r="Q141" s="27"/>
      <c r="R141" s="27"/>
      <c r="S141" s="27"/>
      <c r="T141" s="27"/>
      <c r="U141" s="26"/>
      <c r="V141" s="26"/>
      <c r="W141" s="26"/>
      <c r="X141" s="26"/>
      <c r="Y141" s="27"/>
      <c r="Z141" s="26"/>
      <c r="AA141" s="26"/>
      <c r="AB141" s="27"/>
      <c r="AC141" s="26"/>
      <c r="AD141" s="26"/>
      <c r="AE141" s="27"/>
      <c r="AF141" s="26"/>
      <c r="AG141" s="26"/>
      <c r="AH141" s="27"/>
      <c r="AI141" s="26"/>
      <c r="AJ141" s="27"/>
      <c r="AK141" s="26"/>
      <c r="AL141" s="26"/>
      <c r="AM141" s="26"/>
    </row>
    <row r="142" spans="1:39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  <c r="O142" s="28"/>
      <c r="P142" s="26"/>
      <c r="Q142" s="27"/>
      <c r="R142" s="27"/>
      <c r="S142" s="27"/>
      <c r="T142" s="27"/>
      <c r="U142" s="26"/>
      <c r="V142" s="26"/>
      <c r="W142" s="26"/>
      <c r="X142" s="26"/>
      <c r="Y142" s="27"/>
      <c r="Z142" s="26"/>
      <c r="AA142" s="26"/>
      <c r="AB142" s="27"/>
      <c r="AC142" s="26"/>
      <c r="AD142" s="26"/>
      <c r="AE142" s="27"/>
      <c r="AF142" s="26"/>
      <c r="AG142" s="26"/>
      <c r="AH142" s="27"/>
      <c r="AI142" s="26"/>
      <c r="AJ142" s="27"/>
      <c r="AK142" s="26"/>
      <c r="AL142" s="26"/>
      <c r="AM142" s="26"/>
    </row>
    <row r="143" spans="1:39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8"/>
      <c r="P143" s="26"/>
      <c r="Q143" s="27"/>
      <c r="R143" s="27"/>
      <c r="S143" s="27"/>
      <c r="T143" s="27"/>
      <c r="U143" s="26"/>
      <c r="V143" s="26"/>
      <c r="W143" s="26"/>
      <c r="X143" s="26"/>
      <c r="Y143" s="27"/>
      <c r="Z143" s="26"/>
      <c r="AA143" s="26"/>
      <c r="AB143" s="27"/>
      <c r="AC143" s="26"/>
      <c r="AD143" s="26"/>
      <c r="AE143" s="27"/>
      <c r="AF143" s="26"/>
      <c r="AG143" s="26"/>
      <c r="AH143" s="27"/>
      <c r="AI143" s="26"/>
      <c r="AJ143" s="27"/>
      <c r="AK143" s="26"/>
      <c r="AL143" s="26"/>
      <c r="AM143" s="26"/>
    </row>
    <row r="144" spans="1:39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  <c r="O144" s="28"/>
      <c r="P144" s="26"/>
      <c r="Q144" s="27"/>
      <c r="R144" s="27"/>
      <c r="S144" s="27"/>
      <c r="T144" s="27"/>
      <c r="U144" s="26"/>
      <c r="V144" s="26"/>
      <c r="W144" s="26"/>
      <c r="X144" s="26"/>
      <c r="Y144" s="27"/>
      <c r="Z144" s="26"/>
      <c r="AA144" s="26"/>
      <c r="AB144" s="27"/>
      <c r="AC144" s="26"/>
      <c r="AD144" s="26"/>
      <c r="AE144" s="27"/>
      <c r="AF144" s="26"/>
      <c r="AG144" s="26"/>
      <c r="AH144" s="27"/>
      <c r="AI144" s="26"/>
      <c r="AJ144" s="27"/>
      <c r="AK144" s="26"/>
      <c r="AL144" s="26"/>
      <c r="AM144" s="26"/>
    </row>
    <row r="145" spans="1:39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  <c r="O145" s="28"/>
      <c r="P145" s="26"/>
      <c r="Q145" s="27"/>
      <c r="R145" s="27"/>
      <c r="S145" s="27"/>
      <c r="T145" s="27"/>
      <c r="U145" s="26"/>
      <c r="V145" s="26"/>
      <c r="W145" s="26"/>
      <c r="X145" s="26"/>
      <c r="Y145" s="27"/>
      <c r="Z145" s="26"/>
      <c r="AA145" s="26"/>
      <c r="AB145" s="27"/>
      <c r="AC145" s="26"/>
      <c r="AD145" s="26"/>
      <c r="AE145" s="27"/>
      <c r="AF145" s="26"/>
      <c r="AG145" s="26"/>
      <c r="AH145" s="27"/>
      <c r="AI145" s="26"/>
      <c r="AJ145" s="27"/>
      <c r="AK145" s="26"/>
      <c r="AL145" s="26"/>
      <c r="AM145" s="26"/>
    </row>
    <row r="146" spans="1:39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7"/>
      <c r="O146" s="28"/>
      <c r="P146" s="26"/>
      <c r="Q146" s="27"/>
      <c r="R146" s="27"/>
      <c r="S146" s="27"/>
      <c r="T146" s="27"/>
      <c r="U146" s="26"/>
      <c r="V146" s="26"/>
      <c r="W146" s="26"/>
      <c r="X146" s="26"/>
      <c r="Y146" s="27"/>
      <c r="Z146" s="26"/>
      <c r="AA146" s="26"/>
      <c r="AB146" s="27"/>
      <c r="AC146" s="26"/>
      <c r="AD146" s="26"/>
      <c r="AE146" s="27"/>
      <c r="AF146" s="26"/>
      <c r="AG146" s="26"/>
      <c r="AH146" s="27"/>
      <c r="AI146" s="26"/>
      <c r="AJ146" s="27"/>
      <c r="AK146" s="26"/>
      <c r="AL146" s="26"/>
      <c r="AM146" s="26"/>
    </row>
    <row r="147" spans="1:39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  <c r="O147" s="28"/>
      <c r="P147" s="26"/>
      <c r="Q147" s="27"/>
      <c r="R147" s="27"/>
      <c r="S147" s="27"/>
      <c r="T147" s="27"/>
      <c r="U147" s="26"/>
      <c r="V147" s="26"/>
      <c r="W147" s="26"/>
      <c r="X147" s="26"/>
      <c r="Y147" s="27"/>
      <c r="Z147" s="26"/>
      <c r="AA147" s="26"/>
      <c r="AB147" s="27"/>
      <c r="AC147" s="26"/>
      <c r="AD147" s="26"/>
      <c r="AE147" s="27"/>
      <c r="AF147" s="26"/>
      <c r="AG147" s="26"/>
      <c r="AH147" s="27"/>
      <c r="AI147" s="26"/>
      <c r="AJ147" s="27"/>
      <c r="AK147" s="26"/>
      <c r="AL147" s="26"/>
      <c r="AM147" s="26"/>
    </row>
    <row r="148" spans="1:39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  <c r="O148" s="28"/>
      <c r="P148" s="26"/>
      <c r="Q148" s="27"/>
      <c r="R148" s="27"/>
      <c r="S148" s="27"/>
      <c r="T148" s="27"/>
      <c r="U148" s="26"/>
      <c r="V148" s="26"/>
      <c r="W148" s="26"/>
      <c r="X148" s="26"/>
      <c r="Y148" s="27"/>
      <c r="Z148" s="26"/>
      <c r="AA148" s="26"/>
      <c r="AB148" s="27"/>
      <c r="AC148" s="26"/>
      <c r="AD148" s="26"/>
      <c r="AE148" s="27"/>
      <c r="AF148" s="26"/>
      <c r="AG148" s="26"/>
      <c r="AH148" s="27"/>
      <c r="AI148" s="26"/>
      <c r="AJ148" s="27"/>
      <c r="AK148" s="26"/>
      <c r="AL148" s="26"/>
      <c r="AM148" s="26"/>
    </row>
    <row r="149" spans="1:39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  <c r="O149" s="28"/>
      <c r="P149" s="26"/>
      <c r="Q149" s="27"/>
      <c r="R149" s="27"/>
      <c r="S149" s="27"/>
      <c r="T149" s="27"/>
      <c r="U149" s="26"/>
      <c r="V149" s="26"/>
      <c r="W149" s="26"/>
      <c r="X149" s="26"/>
      <c r="Y149" s="27"/>
      <c r="Z149" s="26"/>
      <c r="AA149" s="26"/>
      <c r="AB149" s="27"/>
      <c r="AC149" s="26"/>
      <c r="AD149" s="26"/>
      <c r="AE149" s="27"/>
      <c r="AF149" s="26"/>
      <c r="AG149" s="26"/>
      <c r="AH149" s="27"/>
      <c r="AI149" s="26"/>
      <c r="AJ149" s="27"/>
      <c r="AK149" s="26"/>
      <c r="AL149" s="26"/>
      <c r="AM149" s="26"/>
    </row>
    <row r="150" spans="1:39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7"/>
      <c r="O150" s="28"/>
      <c r="P150" s="26"/>
      <c r="Q150" s="27"/>
      <c r="R150" s="27"/>
      <c r="S150" s="27"/>
      <c r="T150" s="27"/>
      <c r="U150" s="26"/>
      <c r="V150" s="26"/>
      <c r="W150" s="26"/>
      <c r="X150" s="26"/>
      <c r="Y150" s="27"/>
      <c r="Z150" s="26"/>
      <c r="AA150" s="26"/>
      <c r="AB150" s="27"/>
      <c r="AC150" s="26"/>
      <c r="AD150" s="26"/>
      <c r="AE150" s="27"/>
      <c r="AF150" s="26"/>
      <c r="AG150" s="26"/>
      <c r="AH150" s="27"/>
      <c r="AI150" s="26"/>
      <c r="AJ150" s="27"/>
      <c r="AK150" s="26"/>
      <c r="AL150" s="26"/>
      <c r="AM150" s="26"/>
    </row>
    <row r="151" spans="1:39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8"/>
      <c r="P151" s="26"/>
      <c r="Q151" s="27"/>
      <c r="R151" s="27"/>
      <c r="S151" s="27"/>
      <c r="T151" s="27"/>
      <c r="U151" s="26"/>
      <c r="V151" s="26"/>
      <c r="W151" s="26"/>
      <c r="X151" s="26"/>
      <c r="Y151" s="27"/>
      <c r="Z151" s="26"/>
      <c r="AA151" s="26"/>
      <c r="AB151" s="27"/>
      <c r="AC151" s="26"/>
      <c r="AD151" s="26"/>
      <c r="AE151" s="27"/>
      <c r="AF151" s="26"/>
      <c r="AG151" s="26"/>
      <c r="AH151" s="27"/>
      <c r="AI151" s="26"/>
      <c r="AJ151" s="27"/>
      <c r="AK151" s="26"/>
      <c r="AL151" s="26"/>
      <c r="AM151" s="26"/>
    </row>
    <row r="152" spans="1:39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28"/>
      <c r="P152" s="26"/>
      <c r="Q152" s="27"/>
      <c r="R152" s="27"/>
      <c r="S152" s="27"/>
      <c r="T152" s="27"/>
      <c r="U152" s="26"/>
      <c r="V152" s="26"/>
      <c r="W152" s="26"/>
      <c r="X152" s="26"/>
      <c r="Y152" s="27"/>
      <c r="Z152" s="26"/>
      <c r="AA152" s="26"/>
      <c r="AB152" s="27"/>
      <c r="AC152" s="26"/>
      <c r="AD152" s="26"/>
      <c r="AE152" s="27"/>
      <c r="AF152" s="26"/>
      <c r="AG152" s="26"/>
      <c r="AH152" s="27"/>
      <c r="AI152" s="26"/>
      <c r="AJ152" s="27"/>
      <c r="AK152" s="26"/>
      <c r="AL152" s="26"/>
      <c r="AM152" s="26"/>
    </row>
    <row r="153" spans="1:39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  <c r="O153" s="28"/>
      <c r="P153" s="26"/>
      <c r="Q153" s="27"/>
      <c r="R153" s="27"/>
      <c r="S153" s="27"/>
      <c r="T153" s="27"/>
      <c r="U153" s="26"/>
      <c r="V153" s="26"/>
      <c r="W153" s="26"/>
      <c r="X153" s="26"/>
      <c r="Y153" s="27"/>
      <c r="Z153" s="26"/>
      <c r="AA153" s="26"/>
      <c r="AB153" s="27"/>
      <c r="AC153" s="26"/>
      <c r="AD153" s="26"/>
      <c r="AE153" s="27"/>
      <c r="AF153" s="26"/>
      <c r="AG153" s="26"/>
      <c r="AH153" s="27"/>
      <c r="AI153" s="26"/>
      <c r="AJ153" s="27"/>
      <c r="AK153" s="26"/>
      <c r="AL153" s="26"/>
      <c r="AM153" s="26"/>
    </row>
    <row r="154" spans="1:39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7"/>
      <c r="O154" s="28"/>
      <c r="P154" s="26"/>
      <c r="Q154" s="27"/>
      <c r="R154" s="27"/>
      <c r="S154" s="27"/>
      <c r="T154" s="27"/>
      <c r="U154" s="26"/>
      <c r="V154" s="26"/>
      <c r="W154" s="26"/>
      <c r="X154" s="26"/>
      <c r="Y154" s="27"/>
      <c r="Z154" s="26"/>
      <c r="AA154" s="26"/>
      <c r="AB154" s="27"/>
      <c r="AC154" s="26"/>
      <c r="AD154" s="26"/>
      <c r="AE154" s="27"/>
      <c r="AF154" s="26"/>
      <c r="AG154" s="26"/>
      <c r="AH154" s="27"/>
      <c r="AI154" s="26"/>
      <c r="AJ154" s="27"/>
      <c r="AK154" s="26"/>
      <c r="AL154" s="26"/>
      <c r="AM154" s="26"/>
    </row>
    <row r="155" spans="1:39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8"/>
      <c r="P155" s="26"/>
      <c r="Q155" s="27"/>
      <c r="R155" s="27"/>
      <c r="S155" s="27"/>
      <c r="T155" s="27"/>
      <c r="U155" s="26"/>
      <c r="V155" s="26"/>
      <c r="W155" s="26"/>
      <c r="X155" s="26"/>
      <c r="Y155" s="27"/>
      <c r="Z155" s="26"/>
      <c r="AA155" s="26"/>
      <c r="AB155" s="27"/>
      <c r="AC155" s="26"/>
      <c r="AD155" s="26"/>
      <c r="AE155" s="27"/>
      <c r="AF155" s="26"/>
      <c r="AG155" s="26"/>
      <c r="AH155" s="27"/>
      <c r="AI155" s="26"/>
      <c r="AJ155" s="27"/>
      <c r="AK155" s="26"/>
      <c r="AL155" s="26"/>
      <c r="AM155" s="26"/>
    </row>
    <row r="156" spans="1:39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7"/>
      <c r="O156" s="28"/>
      <c r="P156" s="26"/>
      <c r="Q156" s="27"/>
      <c r="R156" s="27"/>
      <c r="S156" s="27"/>
      <c r="T156" s="27"/>
      <c r="U156" s="26"/>
      <c r="V156" s="26"/>
      <c r="W156" s="26"/>
      <c r="X156" s="26"/>
      <c r="Y156" s="27"/>
      <c r="Z156" s="26"/>
      <c r="AA156" s="26"/>
      <c r="AB156" s="27"/>
      <c r="AC156" s="26"/>
      <c r="AD156" s="26"/>
      <c r="AE156" s="27"/>
      <c r="AF156" s="26"/>
      <c r="AG156" s="26"/>
      <c r="AH156" s="27"/>
      <c r="AI156" s="26"/>
      <c r="AJ156" s="27"/>
      <c r="AK156" s="26"/>
      <c r="AL156" s="26"/>
      <c r="AM156" s="26"/>
    </row>
    <row r="157" spans="1:39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7"/>
      <c r="O157" s="28"/>
      <c r="P157" s="26"/>
      <c r="Q157" s="27"/>
      <c r="R157" s="27"/>
      <c r="S157" s="27"/>
      <c r="T157" s="27"/>
      <c r="U157" s="26"/>
      <c r="V157" s="26"/>
      <c r="W157" s="26"/>
      <c r="X157" s="26"/>
      <c r="Y157" s="27"/>
      <c r="Z157" s="26"/>
      <c r="AA157" s="26"/>
      <c r="AB157" s="27"/>
      <c r="AC157" s="26"/>
      <c r="AD157" s="26"/>
      <c r="AE157" s="27"/>
      <c r="AF157" s="26"/>
      <c r="AG157" s="26"/>
      <c r="AH157" s="27"/>
      <c r="AI157" s="26"/>
      <c r="AJ157" s="27"/>
      <c r="AK157" s="26"/>
      <c r="AL157" s="26"/>
      <c r="AM157" s="26"/>
    </row>
    <row r="158" spans="1:39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7"/>
      <c r="O158" s="28"/>
      <c r="P158" s="26"/>
      <c r="Q158" s="27"/>
      <c r="R158" s="27"/>
      <c r="S158" s="27"/>
      <c r="T158" s="27"/>
      <c r="U158" s="26"/>
      <c r="V158" s="26"/>
      <c r="W158" s="26"/>
      <c r="X158" s="26"/>
      <c r="Y158" s="27"/>
      <c r="Z158" s="26"/>
      <c r="AA158" s="26"/>
      <c r="AB158" s="27"/>
      <c r="AC158" s="26"/>
      <c r="AD158" s="26"/>
      <c r="AE158" s="27"/>
      <c r="AF158" s="26"/>
      <c r="AG158" s="26"/>
      <c r="AH158" s="27"/>
      <c r="AI158" s="26"/>
      <c r="AJ158" s="27"/>
      <c r="AK158" s="26"/>
      <c r="AL158" s="26"/>
      <c r="AM158" s="26"/>
    </row>
    <row r="159" spans="1:39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7"/>
      <c r="O159" s="28"/>
      <c r="P159" s="26"/>
      <c r="Q159" s="27"/>
      <c r="R159" s="27"/>
      <c r="S159" s="27"/>
      <c r="T159" s="27"/>
      <c r="U159" s="26"/>
      <c r="V159" s="26"/>
      <c r="W159" s="26"/>
      <c r="X159" s="26"/>
      <c r="Y159" s="27"/>
      <c r="Z159" s="26"/>
      <c r="AA159" s="26"/>
      <c r="AB159" s="27"/>
      <c r="AC159" s="26"/>
      <c r="AD159" s="26"/>
      <c r="AE159" s="27"/>
      <c r="AF159" s="26"/>
      <c r="AG159" s="26"/>
      <c r="AH159" s="27"/>
      <c r="AI159" s="26"/>
      <c r="AJ159" s="27"/>
      <c r="AK159" s="26"/>
      <c r="AL159" s="26"/>
      <c r="AM159" s="26"/>
    </row>
    <row r="160" spans="1:39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7"/>
      <c r="O160" s="28"/>
      <c r="P160" s="26"/>
      <c r="Q160" s="27"/>
      <c r="R160" s="27"/>
      <c r="S160" s="27"/>
      <c r="T160" s="27"/>
      <c r="U160" s="26"/>
      <c r="V160" s="26"/>
      <c r="W160" s="26"/>
      <c r="X160" s="26"/>
      <c r="Y160" s="27"/>
      <c r="Z160" s="26"/>
      <c r="AA160" s="26"/>
      <c r="AB160" s="27"/>
      <c r="AC160" s="26"/>
      <c r="AD160" s="26"/>
      <c r="AE160" s="27"/>
      <c r="AF160" s="26"/>
      <c r="AG160" s="26"/>
      <c r="AH160" s="27"/>
      <c r="AI160" s="26"/>
      <c r="AJ160" s="27"/>
      <c r="AK160" s="26"/>
      <c r="AL160" s="26"/>
      <c r="AM160" s="26"/>
    </row>
    <row r="161" spans="1:39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7"/>
      <c r="O161" s="28"/>
      <c r="P161" s="26"/>
      <c r="Q161" s="27"/>
      <c r="R161" s="27"/>
      <c r="S161" s="27"/>
      <c r="T161" s="27"/>
      <c r="U161" s="26"/>
      <c r="V161" s="26"/>
      <c r="W161" s="26"/>
      <c r="X161" s="26"/>
      <c r="Y161" s="27"/>
      <c r="Z161" s="26"/>
      <c r="AA161" s="26"/>
      <c r="AB161" s="27"/>
      <c r="AC161" s="26"/>
      <c r="AD161" s="26"/>
      <c r="AE161" s="27"/>
      <c r="AF161" s="26"/>
      <c r="AG161" s="26"/>
      <c r="AH161" s="27"/>
      <c r="AI161" s="26"/>
      <c r="AJ161" s="27"/>
      <c r="AK161" s="26"/>
      <c r="AL161" s="26"/>
      <c r="AM161" s="26"/>
    </row>
    <row r="162" spans="1:39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7"/>
      <c r="O162" s="28"/>
      <c r="P162" s="26"/>
      <c r="Q162" s="27"/>
      <c r="R162" s="27"/>
      <c r="S162" s="27"/>
      <c r="T162" s="27"/>
      <c r="U162" s="26"/>
      <c r="V162" s="26"/>
      <c r="W162" s="26"/>
      <c r="X162" s="26"/>
      <c r="Y162" s="27"/>
      <c r="Z162" s="26"/>
      <c r="AA162" s="26"/>
      <c r="AB162" s="27"/>
      <c r="AC162" s="26"/>
      <c r="AD162" s="26"/>
      <c r="AE162" s="27"/>
      <c r="AF162" s="26"/>
      <c r="AG162" s="26"/>
      <c r="AH162" s="27"/>
      <c r="AI162" s="26"/>
      <c r="AJ162" s="27"/>
      <c r="AK162" s="26"/>
      <c r="AL162" s="26"/>
      <c r="AM162" s="26"/>
    </row>
    <row r="163" spans="1:39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7"/>
      <c r="O163" s="28"/>
      <c r="P163" s="26"/>
      <c r="Q163" s="27"/>
      <c r="R163" s="27"/>
      <c r="S163" s="27"/>
      <c r="T163" s="27"/>
      <c r="U163" s="26"/>
      <c r="V163" s="26"/>
      <c r="W163" s="26"/>
      <c r="X163" s="26"/>
      <c r="Y163" s="27"/>
      <c r="Z163" s="26"/>
      <c r="AA163" s="26"/>
      <c r="AB163" s="27"/>
      <c r="AC163" s="26"/>
      <c r="AD163" s="26"/>
      <c r="AE163" s="27"/>
      <c r="AF163" s="26"/>
      <c r="AG163" s="26"/>
      <c r="AH163" s="27"/>
      <c r="AI163" s="26"/>
      <c r="AJ163" s="27"/>
      <c r="AK163" s="26"/>
      <c r="AL163" s="26"/>
      <c r="AM163" s="26"/>
    </row>
    <row r="164" spans="1:39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7"/>
      <c r="O164" s="28"/>
      <c r="P164" s="26"/>
      <c r="Q164" s="27"/>
      <c r="R164" s="27"/>
      <c r="S164" s="27"/>
      <c r="T164" s="27"/>
      <c r="U164" s="26"/>
      <c r="V164" s="26"/>
      <c r="W164" s="26"/>
      <c r="X164" s="26"/>
      <c r="Y164" s="27"/>
      <c r="Z164" s="26"/>
      <c r="AA164" s="26"/>
      <c r="AB164" s="27"/>
      <c r="AC164" s="26"/>
      <c r="AD164" s="26"/>
      <c r="AE164" s="27"/>
      <c r="AF164" s="26"/>
      <c r="AG164" s="26"/>
      <c r="AH164" s="27"/>
      <c r="AI164" s="26"/>
      <c r="AJ164" s="27"/>
      <c r="AK164" s="26"/>
      <c r="AL164" s="26"/>
      <c r="AM164" s="26"/>
    </row>
    <row r="165" spans="1:39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  <c r="O165" s="28"/>
      <c r="P165" s="26"/>
      <c r="Q165" s="27"/>
      <c r="R165" s="27"/>
      <c r="S165" s="27"/>
      <c r="T165" s="27"/>
      <c r="U165" s="26"/>
      <c r="V165" s="26"/>
      <c r="W165" s="26"/>
      <c r="X165" s="26"/>
      <c r="Y165" s="27"/>
      <c r="Z165" s="26"/>
      <c r="AA165" s="26"/>
      <c r="AB165" s="27"/>
      <c r="AC165" s="26"/>
      <c r="AD165" s="26"/>
      <c r="AE165" s="27"/>
      <c r="AF165" s="26"/>
      <c r="AG165" s="26"/>
      <c r="AH165" s="27"/>
      <c r="AI165" s="26"/>
      <c r="AJ165" s="27"/>
      <c r="AK165" s="26"/>
      <c r="AL165" s="26"/>
      <c r="AM165" s="26"/>
    </row>
    <row r="166" spans="1:39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7"/>
      <c r="O166" s="28"/>
      <c r="P166" s="26"/>
      <c r="Q166" s="27"/>
      <c r="R166" s="27"/>
      <c r="S166" s="27"/>
      <c r="T166" s="27"/>
      <c r="U166" s="26"/>
      <c r="V166" s="26"/>
      <c r="W166" s="26"/>
      <c r="X166" s="26"/>
      <c r="Y166" s="27"/>
      <c r="Z166" s="26"/>
      <c r="AA166" s="26"/>
      <c r="AB166" s="27"/>
      <c r="AC166" s="26"/>
      <c r="AD166" s="26"/>
      <c r="AE166" s="27"/>
      <c r="AF166" s="26"/>
      <c r="AG166" s="26"/>
      <c r="AH166" s="27"/>
      <c r="AI166" s="26"/>
      <c r="AJ166" s="27"/>
      <c r="AK166" s="26"/>
      <c r="AL166" s="26"/>
      <c r="AM166" s="26"/>
    </row>
    <row r="167" spans="1:39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7"/>
      <c r="O167" s="28"/>
      <c r="P167" s="26"/>
      <c r="Q167" s="27"/>
      <c r="R167" s="27"/>
      <c r="S167" s="27"/>
      <c r="T167" s="27"/>
      <c r="U167" s="26"/>
      <c r="V167" s="26"/>
      <c r="W167" s="26"/>
      <c r="X167" s="26"/>
      <c r="Y167" s="27"/>
      <c r="Z167" s="26"/>
      <c r="AA167" s="26"/>
      <c r="AB167" s="27"/>
      <c r="AC167" s="26"/>
      <c r="AD167" s="26"/>
      <c r="AE167" s="27"/>
      <c r="AF167" s="26"/>
      <c r="AG167" s="26"/>
      <c r="AH167" s="27"/>
      <c r="AI167" s="26"/>
      <c r="AJ167" s="27"/>
      <c r="AK167" s="26"/>
      <c r="AL167" s="26"/>
      <c r="AM167" s="26"/>
    </row>
    <row r="168" spans="1:39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7"/>
      <c r="O168" s="28"/>
      <c r="P168" s="26"/>
      <c r="Q168" s="27"/>
      <c r="R168" s="27"/>
      <c r="S168" s="27"/>
      <c r="T168" s="27"/>
      <c r="U168" s="26"/>
      <c r="V168" s="26"/>
      <c r="W168" s="26"/>
      <c r="X168" s="26"/>
      <c r="Y168" s="27"/>
      <c r="Z168" s="26"/>
      <c r="AA168" s="26"/>
      <c r="AB168" s="27"/>
      <c r="AC168" s="26"/>
      <c r="AD168" s="26"/>
      <c r="AE168" s="27"/>
      <c r="AF168" s="26"/>
      <c r="AG168" s="26"/>
      <c r="AH168" s="27"/>
      <c r="AI168" s="26"/>
      <c r="AJ168" s="27"/>
      <c r="AK168" s="26"/>
      <c r="AL168" s="26"/>
      <c r="AM168" s="26"/>
    </row>
    <row r="169" spans="1:39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7"/>
      <c r="O169" s="28"/>
      <c r="P169" s="26"/>
      <c r="Q169" s="27"/>
      <c r="R169" s="27"/>
      <c r="S169" s="27"/>
      <c r="T169" s="27"/>
      <c r="U169" s="26"/>
      <c r="V169" s="26"/>
      <c r="W169" s="26"/>
      <c r="X169" s="26"/>
      <c r="Y169" s="27"/>
      <c r="Z169" s="26"/>
      <c r="AA169" s="26"/>
      <c r="AB169" s="27"/>
      <c r="AC169" s="26"/>
      <c r="AD169" s="26"/>
      <c r="AE169" s="27"/>
      <c r="AF169" s="26"/>
      <c r="AG169" s="26"/>
      <c r="AH169" s="27"/>
      <c r="AI169" s="26"/>
      <c r="AJ169" s="27"/>
      <c r="AK169" s="26"/>
      <c r="AL169" s="26"/>
      <c r="AM169" s="26"/>
    </row>
    <row r="170" spans="1:39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7"/>
      <c r="O170" s="28"/>
      <c r="P170" s="26"/>
      <c r="Q170" s="27"/>
      <c r="R170" s="27"/>
      <c r="S170" s="27"/>
      <c r="T170" s="27"/>
      <c r="U170" s="26"/>
      <c r="V170" s="26"/>
      <c r="W170" s="26"/>
      <c r="X170" s="26"/>
      <c r="Y170" s="27"/>
      <c r="Z170" s="26"/>
      <c r="AA170" s="26"/>
      <c r="AB170" s="27"/>
      <c r="AC170" s="26"/>
      <c r="AD170" s="26"/>
      <c r="AE170" s="27"/>
      <c r="AF170" s="26"/>
      <c r="AG170" s="26"/>
      <c r="AH170" s="27"/>
      <c r="AI170" s="26"/>
      <c r="AJ170" s="27"/>
      <c r="AK170" s="26"/>
      <c r="AL170" s="26"/>
      <c r="AM170" s="26"/>
    </row>
    <row r="171" spans="1:39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7"/>
      <c r="O171" s="28"/>
      <c r="P171" s="26"/>
      <c r="Q171" s="27"/>
      <c r="R171" s="27"/>
      <c r="S171" s="27"/>
      <c r="T171" s="27"/>
      <c r="U171" s="26"/>
      <c r="V171" s="26"/>
      <c r="W171" s="26"/>
      <c r="X171" s="26"/>
      <c r="Y171" s="27"/>
      <c r="Z171" s="26"/>
      <c r="AA171" s="26"/>
      <c r="AB171" s="27"/>
      <c r="AC171" s="26"/>
      <c r="AD171" s="26"/>
      <c r="AE171" s="27"/>
      <c r="AF171" s="26"/>
      <c r="AG171" s="26"/>
      <c r="AH171" s="27"/>
      <c r="AI171" s="26"/>
      <c r="AJ171" s="27"/>
      <c r="AK171" s="26"/>
      <c r="AL171" s="26"/>
      <c r="AM171" s="26"/>
    </row>
    <row r="172" spans="1:39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7"/>
      <c r="O172" s="28"/>
      <c r="P172" s="26"/>
      <c r="Q172" s="27"/>
      <c r="R172" s="27"/>
      <c r="S172" s="27"/>
      <c r="T172" s="27"/>
      <c r="U172" s="26"/>
      <c r="V172" s="26"/>
      <c r="W172" s="26"/>
      <c r="X172" s="26"/>
      <c r="Y172" s="27"/>
      <c r="Z172" s="26"/>
      <c r="AA172" s="26"/>
      <c r="AB172" s="27"/>
      <c r="AC172" s="26"/>
      <c r="AD172" s="26"/>
      <c r="AE172" s="27"/>
      <c r="AF172" s="26"/>
      <c r="AG172" s="26"/>
      <c r="AH172" s="27"/>
      <c r="AI172" s="26"/>
      <c r="AJ172" s="27"/>
      <c r="AK172" s="26"/>
      <c r="AL172" s="26"/>
      <c r="AM172" s="26"/>
    </row>
    <row r="173" spans="1:39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7"/>
      <c r="O173" s="28"/>
      <c r="P173" s="26"/>
      <c r="Q173" s="27"/>
      <c r="R173" s="27"/>
      <c r="S173" s="27"/>
      <c r="T173" s="27"/>
      <c r="U173" s="26"/>
      <c r="V173" s="26"/>
      <c r="W173" s="26"/>
      <c r="X173" s="26"/>
      <c r="Y173" s="27"/>
      <c r="Z173" s="26"/>
      <c r="AA173" s="26"/>
      <c r="AB173" s="27"/>
      <c r="AC173" s="26"/>
      <c r="AD173" s="26"/>
      <c r="AE173" s="27"/>
      <c r="AF173" s="26"/>
      <c r="AG173" s="26"/>
      <c r="AH173" s="27"/>
      <c r="AI173" s="26"/>
      <c r="AJ173" s="27"/>
      <c r="AK173" s="26"/>
      <c r="AL173" s="26"/>
      <c r="AM173" s="26"/>
    </row>
    <row r="174" spans="1:39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7"/>
      <c r="O174" s="28"/>
      <c r="P174" s="26"/>
      <c r="Q174" s="27"/>
      <c r="R174" s="27"/>
      <c r="S174" s="27"/>
      <c r="T174" s="27"/>
      <c r="U174" s="26"/>
      <c r="V174" s="26"/>
      <c r="W174" s="26"/>
      <c r="X174" s="26"/>
      <c r="Y174" s="27"/>
      <c r="Z174" s="26"/>
      <c r="AA174" s="26"/>
      <c r="AB174" s="27"/>
      <c r="AC174" s="26"/>
      <c r="AD174" s="26"/>
      <c r="AE174" s="27"/>
      <c r="AF174" s="26"/>
      <c r="AG174" s="26"/>
      <c r="AH174" s="27"/>
      <c r="AI174" s="26"/>
      <c r="AJ174" s="27"/>
      <c r="AK174" s="26"/>
      <c r="AL174" s="26"/>
      <c r="AM174" s="26"/>
    </row>
    <row r="175" spans="1:39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7"/>
      <c r="O175" s="28"/>
      <c r="P175" s="26"/>
      <c r="Q175" s="27"/>
      <c r="R175" s="27"/>
      <c r="S175" s="27"/>
      <c r="T175" s="27"/>
      <c r="U175" s="26"/>
      <c r="V175" s="26"/>
      <c r="W175" s="26"/>
      <c r="X175" s="26"/>
      <c r="Y175" s="27"/>
      <c r="Z175" s="26"/>
      <c r="AA175" s="26"/>
      <c r="AB175" s="27"/>
      <c r="AC175" s="26"/>
      <c r="AD175" s="26"/>
      <c r="AE175" s="27"/>
      <c r="AF175" s="26"/>
      <c r="AG175" s="26"/>
      <c r="AH175" s="27"/>
      <c r="AI175" s="26"/>
      <c r="AJ175" s="27"/>
      <c r="AK175" s="26"/>
      <c r="AL175" s="26"/>
      <c r="AM175" s="26"/>
    </row>
    <row r="176" spans="1:39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7"/>
      <c r="O176" s="28"/>
      <c r="P176" s="26"/>
      <c r="Q176" s="27"/>
      <c r="R176" s="27"/>
      <c r="S176" s="27"/>
      <c r="T176" s="27"/>
      <c r="U176" s="26"/>
      <c r="V176" s="26"/>
      <c r="W176" s="26"/>
      <c r="X176" s="26"/>
      <c r="Y176" s="27"/>
      <c r="Z176" s="26"/>
      <c r="AA176" s="26"/>
      <c r="AB176" s="27"/>
      <c r="AC176" s="26"/>
      <c r="AD176" s="26"/>
      <c r="AE176" s="27"/>
      <c r="AF176" s="26"/>
      <c r="AG176" s="26"/>
      <c r="AH176" s="27"/>
      <c r="AI176" s="26"/>
      <c r="AJ176" s="27"/>
      <c r="AK176" s="26"/>
      <c r="AL176" s="26"/>
      <c r="AM176" s="26"/>
    </row>
    <row r="177" spans="1:39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  <c r="O177" s="28"/>
      <c r="P177" s="26"/>
      <c r="Q177" s="27"/>
      <c r="R177" s="27"/>
      <c r="S177" s="27"/>
      <c r="T177" s="27"/>
      <c r="U177" s="26"/>
      <c r="V177" s="26"/>
      <c r="W177" s="26"/>
      <c r="X177" s="26"/>
      <c r="Y177" s="27"/>
      <c r="Z177" s="26"/>
      <c r="AA177" s="26"/>
      <c r="AB177" s="27"/>
      <c r="AC177" s="26"/>
      <c r="AD177" s="26"/>
      <c r="AE177" s="27"/>
      <c r="AF177" s="26"/>
      <c r="AG177" s="26"/>
      <c r="AH177" s="27"/>
      <c r="AI177" s="26"/>
      <c r="AJ177" s="27"/>
      <c r="AK177" s="26"/>
      <c r="AL177" s="26"/>
      <c r="AM177" s="26"/>
    </row>
    <row r="178" spans="1:39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  <c r="O178" s="28"/>
      <c r="P178" s="26"/>
      <c r="Q178" s="27"/>
      <c r="R178" s="27"/>
      <c r="S178" s="27"/>
      <c r="T178" s="27"/>
      <c r="U178" s="26"/>
      <c r="V178" s="26"/>
      <c r="W178" s="26"/>
      <c r="X178" s="26"/>
      <c r="Y178" s="27"/>
      <c r="Z178" s="26"/>
      <c r="AA178" s="26"/>
      <c r="AB178" s="27"/>
      <c r="AC178" s="26"/>
      <c r="AD178" s="26"/>
      <c r="AE178" s="27"/>
      <c r="AF178" s="26"/>
      <c r="AG178" s="26"/>
      <c r="AH178" s="27"/>
      <c r="AI178" s="26"/>
      <c r="AJ178" s="27"/>
      <c r="AK178" s="26"/>
      <c r="AL178" s="26"/>
      <c r="AM178" s="26"/>
    </row>
    <row r="179" spans="1:39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7"/>
      <c r="O179" s="28"/>
      <c r="P179" s="26"/>
      <c r="Q179" s="27"/>
      <c r="R179" s="27"/>
      <c r="S179" s="27"/>
      <c r="T179" s="27"/>
      <c r="U179" s="26"/>
      <c r="V179" s="26"/>
      <c r="W179" s="26"/>
      <c r="X179" s="26"/>
      <c r="Y179" s="27"/>
      <c r="Z179" s="26"/>
      <c r="AA179" s="26"/>
      <c r="AB179" s="27"/>
      <c r="AC179" s="26"/>
      <c r="AD179" s="26"/>
      <c r="AE179" s="27"/>
      <c r="AF179" s="26"/>
      <c r="AG179" s="26"/>
      <c r="AH179" s="27"/>
      <c r="AI179" s="26"/>
      <c r="AJ179" s="27"/>
      <c r="AK179" s="26"/>
      <c r="AL179" s="26"/>
      <c r="AM179" s="26"/>
    </row>
    <row r="180" spans="1:39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7"/>
      <c r="O180" s="28"/>
      <c r="P180" s="26"/>
      <c r="Q180" s="27"/>
      <c r="R180" s="27"/>
      <c r="S180" s="27"/>
      <c r="T180" s="27"/>
      <c r="U180" s="26"/>
      <c r="V180" s="26"/>
      <c r="W180" s="26"/>
      <c r="X180" s="26"/>
      <c r="Y180" s="27"/>
      <c r="Z180" s="26"/>
      <c r="AA180" s="26"/>
      <c r="AB180" s="27"/>
      <c r="AC180" s="26"/>
      <c r="AD180" s="26"/>
      <c r="AE180" s="27"/>
      <c r="AF180" s="26"/>
      <c r="AG180" s="26"/>
      <c r="AH180" s="27"/>
      <c r="AI180" s="26"/>
      <c r="AJ180" s="27"/>
      <c r="AK180" s="26"/>
      <c r="AL180" s="26"/>
      <c r="AM180" s="26"/>
    </row>
    <row r="181" spans="1:39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7"/>
      <c r="O181" s="28"/>
      <c r="P181" s="26"/>
      <c r="Q181" s="27"/>
      <c r="R181" s="27"/>
      <c r="S181" s="27"/>
      <c r="T181" s="27"/>
      <c r="U181" s="26"/>
      <c r="V181" s="26"/>
      <c r="W181" s="26"/>
      <c r="X181" s="26"/>
      <c r="Y181" s="27"/>
      <c r="Z181" s="26"/>
      <c r="AA181" s="26"/>
      <c r="AB181" s="27"/>
      <c r="AC181" s="26"/>
      <c r="AD181" s="26"/>
      <c r="AE181" s="27"/>
      <c r="AF181" s="26"/>
      <c r="AG181" s="26"/>
      <c r="AH181" s="27"/>
      <c r="AI181" s="26"/>
      <c r="AJ181" s="27"/>
      <c r="AK181" s="26"/>
      <c r="AL181" s="26"/>
      <c r="AM181" s="26"/>
    </row>
    <row r="182" spans="1:39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7"/>
      <c r="O182" s="28"/>
      <c r="P182" s="26"/>
      <c r="Q182" s="27"/>
      <c r="R182" s="27"/>
      <c r="S182" s="27"/>
      <c r="T182" s="27"/>
      <c r="U182" s="26"/>
      <c r="V182" s="26"/>
      <c r="W182" s="26"/>
      <c r="X182" s="26"/>
      <c r="Y182" s="27"/>
      <c r="Z182" s="26"/>
      <c r="AA182" s="26"/>
      <c r="AB182" s="27"/>
      <c r="AC182" s="26"/>
      <c r="AD182" s="26"/>
      <c r="AE182" s="27"/>
      <c r="AF182" s="26"/>
      <c r="AG182" s="26"/>
      <c r="AH182" s="27"/>
      <c r="AI182" s="26"/>
      <c r="AJ182" s="27"/>
      <c r="AK182" s="26"/>
      <c r="AL182" s="26"/>
      <c r="AM182" s="26"/>
    </row>
    <row r="183" spans="1:39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7"/>
      <c r="O183" s="28"/>
      <c r="P183" s="26"/>
      <c r="Q183" s="27"/>
      <c r="R183" s="27"/>
      <c r="S183" s="27"/>
      <c r="T183" s="27"/>
      <c r="U183" s="26"/>
      <c r="V183" s="26"/>
      <c r="W183" s="26"/>
      <c r="X183" s="26"/>
      <c r="Y183" s="27"/>
      <c r="Z183" s="26"/>
      <c r="AA183" s="26"/>
      <c r="AB183" s="27"/>
      <c r="AC183" s="26"/>
      <c r="AD183" s="26"/>
      <c r="AE183" s="27"/>
      <c r="AF183" s="26"/>
      <c r="AG183" s="26"/>
      <c r="AH183" s="27"/>
      <c r="AI183" s="26"/>
      <c r="AJ183" s="27"/>
      <c r="AK183" s="26"/>
      <c r="AL183" s="26"/>
      <c r="AM183" s="26"/>
    </row>
    <row r="184" spans="1:39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7"/>
      <c r="O184" s="28"/>
      <c r="P184" s="26"/>
      <c r="Q184" s="27"/>
      <c r="R184" s="27"/>
      <c r="S184" s="27"/>
      <c r="T184" s="27"/>
      <c r="U184" s="26"/>
      <c r="V184" s="26"/>
      <c r="W184" s="26"/>
      <c r="X184" s="26"/>
      <c r="Y184" s="27"/>
      <c r="Z184" s="26"/>
      <c r="AA184" s="26"/>
      <c r="AB184" s="27"/>
      <c r="AC184" s="26"/>
      <c r="AD184" s="26"/>
      <c r="AE184" s="27"/>
      <c r="AF184" s="26"/>
      <c r="AG184" s="26"/>
      <c r="AH184" s="27"/>
      <c r="AI184" s="26"/>
      <c r="AJ184" s="27"/>
      <c r="AK184" s="26"/>
      <c r="AL184" s="26"/>
      <c r="AM184" s="26"/>
    </row>
    <row r="185" spans="1:39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7"/>
      <c r="O185" s="28"/>
      <c r="P185" s="26"/>
      <c r="Q185" s="27"/>
      <c r="R185" s="27"/>
      <c r="S185" s="27"/>
      <c r="T185" s="27"/>
      <c r="U185" s="26"/>
      <c r="V185" s="26"/>
      <c r="W185" s="26"/>
      <c r="X185" s="26"/>
      <c r="Y185" s="27"/>
      <c r="Z185" s="26"/>
      <c r="AA185" s="26"/>
      <c r="AB185" s="27"/>
      <c r="AC185" s="26"/>
      <c r="AD185" s="26"/>
      <c r="AE185" s="27"/>
      <c r="AF185" s="26"/>
      <c r="AG185" s="26"/>
      <c r="AH185" s="27"/>
      <c r="AI185" s="26"/>
      <c r="AJ185" s="27"/>
      <c r="AK185" s="26"/>
      <c r="AL185" s="26"/>
      <c r="AM185" s="26"/>
    </row>
    <row r="186" spans="1:39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7"/>
      <c r="O186" s="28"/>
      <c r="P186" s="26"/>
      <c r="Q186" s="27"/>
      <c r="R186" s="27"/>
      <c r="S186" s="27"/>
      <c r="T186" s="27"/>
      <c r="U186" s="26"/>
      <c r="V186" s="26"/>
      <c r="W186" s="26"/>
      <c r="X186" s="26"/>
      <c r="Y186" s="27"/>
      <c r="Z186" s="26"/>
      <c r="AA186" s="26"/>
      <c r="AB186" s="27"/>
      <c r="AC186" s="26"/>
      <c r="AD186" s="26"/>
      <c r="AE186" s="27"/>
      <c r="AF186" s="26"/>
      <c r="AG186" s="26"/>
      <c r="AH186" s="27"/>
      <c r="AI186" s="26"/>
      <c r="AJ186" s="27"/>
      <c r="AK186" s="26"/>
      <c r="AL186" s="26"/>
      <c r="AM186" s="26"/>
    </row>
    <row r="187" spans="1:39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7"/>
      <c r="O187" s="28"/>
      <c r="P187" s="26"/>
      <c r="Q187" s="27"/>
      <c r="R187" s="27"/>
      <c r="S187" s="27"/>
      <c r="T187" s="27"/>
      <c r="U187" s="26"/>
      <c r="V187" s="26"/>
      <c r="W187" s="26"/>
      <c r="X187" s="26"/>
      <c r="Y187" s="27"/>
      <c r="Z187" s="26"/>
      <c r="AA187" s="26"/>
      <c r="AB187" s="27"/>
      <c r="AC187" s="26"/>
      <c r="AD187" s="26"/>
      <c r="AE187" s="27"/>
      <c r="AF187" s="26"/>
      <c r="AG187" s="26"/>
      <c r="AH187" s="27"/>
      <c r="AI187" s="26"/>
      <c r="AJ187" s="27"/>
      <c r="AK187" s="26"/>
      <c r="AL187" s="26"/>
      <c r="AM187" s="26"/>
    </row>
    <row r="188" spans="1:39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7"/>
      <c r="O188" s="28"/>
      <c r="P188" s="26"/>
      <c r="Q188" s="27"/>
      <c r="R188" s="27"/>
      <c r="S188" s="27"/>
      <c r="T188" s="27"/>
      <c r="U188" s="26"/>
      <c r="V188" s="26"/>
      <c r="W188" s="26"/>
      <c r="X188" s="26"/>
      <c r="Y188" s="27"/>
      <c r="Z188" s="26"/>
      <c r="AA188" s="26"/>
      <c r="AB188" s="27"/>
      <c r="AC188" s="26"/>
      <c r="AD188" s="26"/>
      <c r="AE188" s="27"/>
      <c r="AF188" s="26"/>
      <c r="AG188" s="26"/>
      <c r="AH188" s="27"/>
      <c r="AI188" s="26"/>
      <c r="AJ188" s="27"/>
      <c r="AK188" s="26"/>
      <c r="AL188" s="26"/>
      <c r="AM188" s="26"/>
    </row>
    <row r="189" spans="1:39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7"/>
      <c r="O189" s="28"/>
      <c r="P189" s="26"/>
      <c r="Q189" s="27"/>
      <c r="R189" s="27"/>
      <c r="S189" s="27"/>
      <c r="T189" s="27"/>
      <c r="U189" s="26"/>
      <c r="V189" s="26"/>
      <c r="W189" s="26"/>
      <c r="X189" s="26"/>
      <c r="Y189" s="27"/>
      <c r="Z189" s="26"/>
      <c r="AA189" s="26"/>
      <c r="AB189" s="27"/>
      <c r="AC189" s="26"/>
      <c r="AD189" s="26"/>
      <c r="AE189" s="27"/>
      <c r="AF189" s="26"/>
      <c r="AG189" s="26"/>
      <c r="AH189" s="27"/>
      <c r="AI189" s="26"/>
      <c r="AJ189" s="27"/>
      <c r="AK189" s="26"/>
      <c r="AL189" s="26"/>
      <c r="AM189" s="26"/>
    </row>
    <row r="190" spans="1:39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7"/>
      <c r="O190" s="28"/>
      <c r="P190" s="26"/>
      <c r="Q190" s="27"/>
      <c r="R190" s="27"/>
      <c r="S190" s="27"/>
      <c r="T190" s="27"/>
      <c r="U190" s="26"/>
      <c r="V190" s="26"/>
      <c r="W190" s="26"/>
      <c r="X190" s="26"/>
      <c r="Y190" s="27"/>
      <c r="Z190" s="26"/>
      <c r="AA190" s="26"/>
      <c r="AB190" s="27"/>
      <c r="AC190" s="26"/>
      <c r="AD190" s="26"/>
      <c r="AE190" s="27"/>
      <c r="AF190" s="26"/>
      <c r="AG190" s="26"/>
      <c r="AH190" s="27"/>
      <c r="AI190" s="26"/>
      <c r="AJ190" s="27"/>
      <c r="AK190" s="26"/>
      <c r="AL190" s="26"/>
      <c r="AM190" s="26"/>
    </row>
    <row r="191" spans="1:39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7"/>
      <c r="O191" s="28"/>
      <c r="P191" s="26"/>
      <c r="Q191" s="27"/>
      <c r="R191" s="27"/>
      <c r="S191" s="27"/>
      <c r="T191" s="27"/>
      <c r="U191" s="26"/>
      <c r="V191" s="26"/>
      <c r="W191" s="26"/>
      <c r="X191" s="26"/>
      <c r="Y191" s="27"/>
      <c r="Z191" s="26"/>
      <c r="AA191" s="26"/>
      <c r="AB191" s="27"/>
      <c r="AC191" s="26"/>
      <c r="AD191" s="26"/>
      <c r="AE191" s="27"/>
      <c r="AF191" s="26"/>
      <c r="AG191" s="26"/>
      <c r="AH191" s="27"/>
      <c r="AI191" s="26"/>
      <c r="AJ191" s="27"/>
      <c r="AK191" s="26"/>
      <c r="AL191" s="26"/>
      <c r="AM191" s="26"/>
    </row>
    <row r="192" spans="1:39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7"/>
      <c r="O192" s="28"/>
      <c r="P192" s="26"/>
      <c r="Q192" s="27"/>
      <c r="R192" s="27"/>
      <c r="S192" s="27"/>
      <c r="T192" s="27"/>
      <c r="U192" s="26"/>
      <c r="V192" s="26"/>
      <c r="W192" s="26"/>
      <c r="X192" s="26"/>
      <c r="Y192" s="27"/>
      <c r="Z192" s="26"/>
      <c r="AA192" s="26"/>
      <c r="AB192" s="27"/>
      <c r="AC192" s="26"/>
      <c r="AD192" s="26"/>
      <c r="AE192" s="27"/>
      <c r="AF192" s="26"/>
      <c r="AG192" s="26"/>
      <c r="AH192" s="27"/>
      <c r="AI192" s="26"/>
      <c r="AJ192" s="27"/>
      <c r="AK192" s="26"/>
      <c r="AL192" s="26"/>
      <c r="AM192" s="26"/>
    </row>
    <row r="193" spans="1:39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7"/>
      <c r="O193" s="28"/>
      <c r="P193" s="26"/>
      <c r="Q193" s="27"/>
      <c r="R193" s="27"/>
      <c r="S193" s="27"/>
      <c r="T193" s="27"/>
      <c r="U193" s="26"/>
      <c r="V193" s="26"/>
      <c r="W193" s="26"/>
      <c r="X193" s="26"/>
      <c r="Y193" s="27"/>
      <c r="Z193" s="26"/>
      <c r="AA193" s="26"/>
      <c r="AB193" s="27"/>
      <c r="AC193" s="26"/>
      <c r="AD193" s="26"/>
      <c r="AE193" s="27"/>
      <c r="AF193" s="26"/>
      <c r="AG193" s="26"/>
      <c r="AH193" s="27"/>
      <c r="AI193" s="26"/>
      <c r="AJ193" s="27"/>
      <c r="AK193" s="26"/>
      <c r="AL193" s="26"/>
      <c r="AM193" s="26"/>
    </row>
    <row r="194" spans="1:39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7"/>
      <c r="O194" s="28"/>
      <c r="P194" s="26"/>
      <c r="Q194" s="27"/>
      <c r="R194" s="27"/>
      <c r="S194" s="27"/>
      <c r="T194" s="27"/>
      <c r="U194" s="26"/>
      <c r="V194" s="26"/>
      <c r="W194" s="26"/>
      <c r="X194" s="26"/>
      <c r="Y194" s="27"/>
      <c r="Z194" s="26"/>
      <c r="AA194" s="26"/>
      <c r="AB194" s="27"/>
      <c r="AC194" s="26"/>
      <c r="AD194" s="26"/>
      <c r="AE194" s="27"/>
      <c r="AF194" s="26"/>
      <c r="AG194" s="26"/>
      <c r="AH194" s="27"/>
      <c r="AI194" s="26"/>
      <c r="AJ194" s="27"/>
      <c r="AK194" s="26"/>
      <c r="AL194" s="26"/>
      <c r="AM194" s="26"/>
    </row>
    <row r="195" spans="1:39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7"/>
      <c r="O195" s="28"/>
      <c r="P195" s="26"/>
      <c r="Q195" s="27"/>
      <c r="R195" s="27"/>
      <c r="S195" s="27"/>
      <c r="T195" s="27"/>
      <c r="U195" s="26"/>
      <c r="V195" s="26"/>
      <c r="W195" s="26"/>
      <c r="X195" s="26"/>
      <c r="Y195" s="27"/>
      <c r="Z195" s="26"/>
      <c r="AA195" s="26"/>
      <c r="AB195" s="27"/>
      <c r="AC195" s="26"/>
      <c r="AD195" s="26"/>
      <c r="AE195" s="27"/>
      <c r="AF195" s="26"/>
      <c r="AG195" s="26"/>
      <c r="AH195" s="27"/>
      <c r="AI195" s="26"/>
      <c r="AJ195" s="27"/>
      <c r="AK195" s="26"/>
      <c r="AL195" s="26"/>
      <c r="AM195" s="26"/>
    </row>
    <row r="196" spans="1:39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7"/>
      <c r="O196" s="28"/>
      <c r="P196" s="26"/>
      <c r="Q196" s="27"/>
      <c r="R196" s="27"/>
      <c r="S196" s="27"/>
      <c r="T196" s="27"/>
      <c r="U196" s="26"/>
      <c r="V196" s="26"/>
      <c r="W196" s="26"/>
      <c r="X196" s="26"/>
      <c r="Y196" s="27"/>
      <c r="Z196" s="26"/>
      <c r="AA196" s="26"/>
      <c r="AB196" s="27"/>
      <c r="AC196" s="26"/>
      <c r="AD196" s="26"/>
      <c r="AE196" s="27"/>
      <c r="AF196" s="26"/>
      <c r="AG196" s="26"/>
      <c r="AH196" s="27"/>
      <c r="AI196" s="26"/>
      <c r="AJ196" s="27"/>
      <c r="AK196" s="26"/>
      <c r="AL196" s="26"/>
      <c r="AM196" s="26"/>
    </row>
    <row r="197" spans="1:39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7"/>
      <c r="O197" s="28"/>
      <c r="P197" s="26"/>
      <c r="Q197" s="27"/>
      <c r="R197" s="27"/>
      <c r="S197" s="27"/>
      <c r="T197" s="27"/>
      <c r="U197" s="26"/>
      <c r="V197" s="26"/>
      <c r="W197" s="26"/>
      <c r="X197" s="26"/>
      <c r="Y197" s="27"/>
      <c r="Z197" s="26"/>
      <c r="AA197" s="26"/>
      <c r="AB197" s="27"/>
      <c r="AC197" s="26"/>
      <c r="AD197" s="26"/>
      <c r="AE197" s="27"/>
      <c r="AF197" s="26"/>
      <c r="AG197" s="26"/>
      <c r="AH197" s="27"/>
      <c r="AI197" s="26"/>
      <c r="AJ197" s="27"/>
      <c r="AK197" s="26"/>
      <c r="AL197" s="26"/>
      <c r="AM197" s="26"/>
    </row>
    <row r="198" spans="1:39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7"/>
      <c r="O198" s="28"/>
      <c r="P198" s="26"/>
      <c r="Q198" s="27"/>
      <c r="R198" s="27"/>
      <c r="S198" s="27"/>
      <c r="T198" s="27"/>
      <c r="U198" s="26"/>
      <c r="V198" s="26"/>
      <c r="W198" s="26"/>
      <c r="X198" s="26"/>
      <c r="Y198" s="27"/>
      <c r="Z198" s="26"/>
      <c r="AA198" s="26"/>
      <c r="AB198" s="27"/>
      <c r="AC198" s="26"/>
      <c r="AD198" s="26"/>
      <c r="AE198" s="27"/>
      <c r="AF198" s="26"/>
      <c r="AG198" s="26"/>
      <c r="AH198" s="27"/>
      <c r="AI198" s="26"/>
      <c r="AJ198" s="27"/>
      <c r="AK198" s="26"/>
      <c r="AL198" s="26"/>
      <c r="AM198" s="26"/>
    </row>
    <row r="199" spans="1:39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7"/>
      <c r="O199" s="28"/>
      <c r="P199" s="26"/>
      <c r="Q199" s="27"/>
      <c r="R199" s="27"/>
      <c r="S199" s="27"/>
      <c r="T199" s="27"/>
      <c r="U199" s="26"/>
      <c r="V199" s="26"/>
      <c r="W199" s="26"/>
      <c r="X199" s="26"/>
      <c r="Y199" s="27"/>
      <c r="Z199" s="26"/>
      <c r="AA199" s="26"/>
      <c r="AB199" s="27"/>
      <c r="AC199" s="26"/>
      <c r="AD199" s="26"/>
      <c r="AE199" s="27"/>
      <c r="AF199" s="26"/>
      <c r="AG199" s="26"/>
      <c r="AH199" s="27"/>
      <c r="AI199" s="26"/>
      <c r="AJ199" s="27"/>
      <c r="AK199" s="26"/>
      <c r="AL199" s="26"/>
      <c r="AM199" s="26"/>
    </row>
    <row r="200" spans="1:39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7"/>
      <c r="O200" s="28"/>
      <c r="P200" s="26"/>
      <c r="Q200" s="27"/>
      <c r="R200" s="27"/>
      <c r="S200" s="27"/>
      <c r="T200" s="27"/>
      <c r="U200" s="26"/>
      <c r="V200" s="26"/>
      <c r="W200" s="26"/>
      <c r="X200" s="26"/>
      <c r="Y200" s="27"/>
      <c r="Z200" s="26"/>
      <c r="AA200" s="26"/>
      <c r="AB200" s="27"/>
      <c r="AC200" s="26"/>
      <c r="AD200" s="26"/>
      <c r="AE200" s="27"/>
      <c r="AF200" s="26"/>
      <c r="AG200" s="26"/>
      <c r="AH200" s="27"/>
      <c r="AI200" s="26"/>
      <c r="AJ200" s="27"/>
      <c r="AK200" s="26"/>
      <c r="AL200" s="26"/>
      <c r="AM200" s="26"/>
    </row>
    <row r="201" spans="1:39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7"/>
      <c r="O201" s="28"/>
      <c r="P201" s="26"/>
      <c r="Q201" s="27"/>
      <c r="R201" s="27"/>
      <c r="S201" s="27"/>
      <c r="T201" s="27"/>
      <c r="U201" s="26"/>
      <c r="V201" s="26"/>
      <c r="W201" s="26"/>
      <c r="X201" s="26"/>
      <c r="Y201" s="27"/>
      <c r="Z201" s="26"/>
      <c r="AA201" s="26"/>
      <c r="AB201" s="27"/>
      <c r="AC201" s="26"/>
      <c r="AD201" s="26"/>
      <c r="AE201" s="27"/>
      <c r="AF201" s="26"/>
      <c r="AG201" s="26"/>
      <c r="AH201" s="27"/>
      <c r="AI201" s="26"/>
      <c r="AJ201" s="27"/>
      <c r="AK201" s="26"/>
      <c r="AL201" s="26"/>
      <c r="AM201" s="26"/>
    </row>
    <row r="202" spans="1:39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7"/>
      <c r="O202" s="28"/>
      <c r="P202" s="26"/>
      <c r="Q202" s="27"/>
      <c r="R202" s="27"/>
      <c r="S202" s="27"/>
      <c r="T202" s="27"/>
      <c r="U202" s="26"/>
      <c r="V202" s="26"/>
      <c r="W202" s="26"/>
      <c r="X202" s="26"/>
      <c r="Y202" s="27"/>
      <c r="Z202" s="26"/>
      <c r="AA202" s="26"/>
      <c r="AB202" s="27"/>
      <c r="AC202" s="26"/>
      <c r="AD202" s="26"/>
      <c r="AE202" s="27"/>
      <c r="AF202" s="26"/>
      <c r="AG202" s="26"/>
      <c r="AH202" s="27"/>
      <c r="AI202" s="26"/>
      <c r="AJ202" s="27"/>
      <c r="AK202" s="26"/>
      <c r="AL202" s="26"/>
      <c r="AM202" s="26"/>
    </row>
    <row r="203" spans="1:39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7"/>
      <c r="O203" s="28"/>
      <c r="P203" s="26"/>
      <c r="Q203" s="27"/>
      <c r="R203" s="27"/>
      <c r="S203" s="27"/>
      <c r="T203" s="27"/>
      <c r="U203" s="26"/>
      <c r="V203" s="26"/>
      <c r="W203" s="26"/>
      <c r="X203" s="26"/>
      <c r="Y203" s="27"/>
      <c r="Z203" s="26"/>
      <c r="AA203" s="26"/>
      <c r="AB203" s="27"/>
      <c r="AC203" s="26"/>
      <c r="AD203" s="26"/>
      <c r="AE203" s="27"/>
      <c r="AF203" s="26"/>
      <c r="AG203" s="26"/>
      <c r="AH203" s="27"/>
      <c r="AI203" s="26"/>
      <c r="AJ203" s="27"/>
      <c r="AK203" s="26"/>
      <c r="AL203" s="26"/>
      <c r="AM203" s="26"/>
    </row>
    <row r="204" spans="1:39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7"/>
      <c r="O204" s="28"/>
      <c r="P204" s="26"/>
      <c r="Q204" s="27"/>
      <c r="R204" s="27"/>
      <c r="S204" s="27"/>
      <c r="T204" s="27"/>
      <c r="U204" s="26"/>
      <c r="V204" s="26"/>
      <c r="W204" s="26"/>
      <c r="X204" s="26"/>
      <c r="Y204" s="27"/>
      <c r="Z204" s="26"/>
      <c r="AA204" s="26"/>
      <c r="AB204" s="27"/>
      <c r="AC204" s="26"/>
      <c r="AD204" s="26"/>
      <c r="AE204" s="27"/>
      <c r="AF204" s="26"/>
      <c r="AG204" s="26"/>
      <c r="AH204" s="27"/>
      <c r="AI204" s="26"/>
      <c r="AJ204" s="27"/>
      <c r="AK204" s="26"/>
      <c r="AL204" s="26"/>
      <c r="AM204" s="26"/>
    </row>
    <row r="205" spans="1:39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7"/>
      <c r="O205" s="28"/>
      <c r="P205" s="26"/>
      <c r="Q205" s="27"/>
      <c r="R205" s="27"/>
      <c r="S205" s="27"/>
      <c r="T205" s="27"/>
      <c r="U205" s="26"/>
      <c r="V205" s="26"/>
      <c r="W205" s="26"/>
      <c r="X205" s="26"/>
      <c r="Y205" s="27"/>
      <c r="Z205" s="26"/>
      <c r="AA205" s="26"/>
      <c r="AB205" s="27"/>
      <c r="AC205" s="26"/>
      <c r="AD205" s="26"/>
      <c r="AE205" s="27"/>
      <c r="AF205" s="26"/>
      <c r="AG205" s="26"/>
      <c r="AH205" s="27"/>
      <c r="AI205" s="26"/>
      <c r="AJ205" s="27"/>
      <c r="AK205" s="26"/>
      <c r="AL205" s="26"/>
      <c r="AM205" s="26"/>
    </row>
    <row r="206" spans="1:39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7"/>
      <c r="O206" s="28"/>
      <c r="P206" s="26"/>
      <c r="Q206" s="27"/>
      <c r="R206" s="27"/>
      <c r="S206" s="27"/>
      <c r="T206" s="27"/>
      <c r="U206" s="26"/>
      <c r="V206" s="26"/>
      <c r="W206" s="26"/>
      <c r="X206" s="26"/>
      <c r="Y206" s="27"/>
      <c r="Z206" s="26"/>
      <c r="AA206" s="26"/>
      <c r="AB206" s="27"/>
      <c r="AC206" s="26"/>
      <c r="AD206" s="26"/>
      <c r="AE206" s="27"/>
      <c r="AF206" s="26"/>
      <c r="AG206" s="26"/>
      <c r="AH206" s="27"/>
      <c r="AI206" s="26"/>
      <c r="AJ206" s="27"/>
      <c r="AK206" s="26"/>
      <c r="AL206" s="26"/>
      <c r="AM206" s="26"/>
    </row>
    <row r="207" spans="1:39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7"/>
      <c r="O207" s="28"/>
      <c r="P207" s="26"/>
      <c r="Q207" s="27"/>
      <c r="R207" s="27"/>
      <c r="S207" s="27"/>
      <c r="T207" s="27"/>
      <c r="U207" s="26"/>
      <c r="V207" s="26"/>
      <c r="W207" s="26"/>
      <c r="X207" s="26"/>
      <c r="Y207" s="27"/>
      <c r="Z207" s="26"/>
      <c r="AA207" s="26"/>
      <c r="AB207" s="27"/>
      <c r="AC207" s="26"/>
      <c r="AD207" s="26"/>
      <c r="AE207" s="27"/>
      <c r="AF207" s="26"/>
      <c r="AG207" s="26"/>
      <c r="AH207" s="27"/>
      <c r="AI207" s="26"/>
      <c r="AJ207" s="27"/>
      <c r="AK207" s="26"/>
      <c r="AL207" s="26"/>
      <c r="AM207" s="26"/>
    </row>
    <row r="208" spans="1:39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7"/>
      <c r="O208" s="28"/>
      <c r="P208" s="26"/>
      <c r="Q208" s="27"/>
      <c r="R208" s="27"/>
      <c r="S208" s="27"/>
      <c r="T208" s="27"/>
      <c r="U208" s="26"/>
      <c r="V208" s="26"/>
      <c r="W208" s="26"/>
      <c r="X208" s="26"/>
      <c r="Y208" s="27"/>
      <c r="Z208" s="26"/>
      <c r="AA208" s="26"/>
      <c r="AB208" s="27"/>
      <c r="AC208" s="26"/>
      <c r="AD208" s="26"/>
      <c r="AE208" s="27"/>
      <c r="AF208" s="26"/>
      <c r="AG208" s="26"/>
      <c r="AH208" s="27"/>
      <c r="AI208" s="26"/>
      <c r="AJ208" s="27"/>
      <c r="AK208" s="26"/>
      <c r="AL208" s="26"/>
      <c r="AM208" s="26"/>
    </row>
    <row r="209" spans="1:39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7"/>
      <c r="O209" s="28"/>
      <c r="P209" s="26"/>
      <c r="Q209" s="27"/>
      <c r="R209" s="27"/>
      <c r="S209" s="27"/>
      <c r="T209" s="27"/>
      <c r="U209" s="26"/>
      <c r="V209" s="26"/>
      <c r="W209" s="26"/>
      <c r="X209" s="26"/>
      <c r="Y209" s="27"/>
      <c r="Z209" s="26"/>
      <c r="AA209" s="26"/>
      <c r="AB209" s="27"/>
      <c r="AC209" s="26"/>
      <c r="AD209" s="26"/>
      <c r="AE209" s="27"/>
      <c r="AF209" s="26"/>
      <c r="AG209" s="26"/>
      <c r="AH209" s="27"/>
      <c r="AI209" s="26"/>
      <c r="AJ209" s="27"/>
      <c r="AK209" s="26"/>
      <c r="AL209" s="26"/>
      <c r="AM209" s="26"/>
    </row>
    <row r="210" spans="1:39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7"/>
      <c r="O210" s="28"/>
      <c r="P210" s="26"/>
      <c r="Q210" s="27"/>
      <c r="R210" s="27"/>
      <c r="S210" s="27"/>
      <c r="T210" s="27"/>
      <c r="U210" s="26"/>
      <c r="V210" s="26"/>
      <c r="W210" s="26"/>
      <c r="X210" s="26"/>
      <c r="Y210" s="27"/>
      <c r="Z210" s="26"/>
      <c r="AA210" s="26"/>
      <c r="AB210" s="27"/>
      <c r="AC210" s="26"/>
      <c r="AD210" s="26"/>
      <c r="AE210" s="27"/>
      <c r="AF210" s="26"/>
      <c r="AG210" s="26"/>
      <c r="AH210" s="27"/>
      <c r="AI210" s="26"/>
      <c r="AJ210" s="27"/>
      <c r="AK210" s="26"/>
      <c r="AL210" s="26"/>
      <c r="AM210" s="26"/>
    </row>
    <row r="211" spans="1:39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7"/>
      <c r="O211" s="28"/>
      <c r="P211" s="26"/>
      <c r="Q211" s="27"/>
      <c r="R211" s="27"/>
      <c r="S211" s="27"/>
      <c r="T211" s="27"/>
      <c r="U211" s="26"/>
      <c r="V211" s="26"/>
      <c r="W211" s="26"/>
      <c r="X211" s="26"/>
      <c r="Y211" s="27"/>
      <c r="Z211" s="26"/>
      <c r="AA211" s="26"/>
      <c r="AB211" s="27"/>
      <c r="AC211" s="26"/>
      <c r="AD211" s="26"/>
      <c r="AE211" s="27"/>
      <c r="AF211" s="26"/>
      <c r="AG211" s="26"/>
      <c r="AH211" s="27"/>
      <c r="AI211" s="26"/>
      <c r="AJ211" s="27"/>
      <c r="AK211" s="26"/>
      <c r="AL211" s="26"/>
      <c r="AM211" s="26"/>
    </row>
    <row r="212" spans="1:39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7"/>
      <c r="O212" s="28"/>
      <c r="P212" s="26"/>
      <c r="Q212" s="27"/>
      <c r="R212" s="27"/>
      <c r="S212" s="27"/>
      <c r="T212" s="27"/>
      <c r="U212" s="26"/>
      <c r="V212" s="26"/>
      <c r="W212" s="26"/>
      <c r="X212" s="26"/>
      <c r="Y212" s="27"/>
      <c r="Z212" s="26"/>
      <c r="AA212" s="26"/>
      <c r="AB212" s="27"/>
      <c r="AC212" s="26"/>
      <c r="AD212" s="26"/>
      <c r="AE212" s="27"/>
      <c r="AF212" s="26"/>
      <c r="AG212" s="26"/>
      <c r="AH212" s="27"/>
      <c r="AI212" s="26"/>
      <c r="AJ212" s="27"/>
      <c r="AK212" s="26"/>
      <c r="AL212" s="26"/>
      <c r="AM212" s="26"/>
    </row>
    <row r="213" spans="1:39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7"/>
      <c r="O213" s="28"/>
      <c r="P213" s="26"/>
      <c r="Q213" s="27"/>
      <c r="R213" s="27"/>
      <c r="S213" s="27"/>
      <c r="T213" s="27"/>
      <c r="U213" s="26"/>
      <c r="V213" s="26"/>
      <c r="W213" s="26"/>
      <c r="X213" s="26"/>
      <c r="Y213" s="27"/>
      <c r="Z213" s="26"/>
      <c r="AA213" s="26"/>
      <c r="AB213" s="27"/>
      <c r="AC213" s="26"/>
      <c r="AD213" s="26"/>
      <c r="AE213" s="27"/>
      <c r="AF213" s="26"/>
      <c r="AG213" s="26"/>
      <c r="AH213" s="27"/>
      <c r="AI213" s="26"/>
      <c r="AJ213" s="27"/>
      <c r="AK213" s="26"/>
      <c r="AL213" s="26"/>
      <c r="AM213" s="26"/>
    </row>
    <row r="214" spans="1:39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7"/>
      <c r="O214" s="28"/>
      <c r="P214" s="26"/>
      <c r="Q214" s="27"/>
      <c r="R214" s="27"/>
      <c r="S214" s="27"/>
      <c r="T214" s="27"/>
      <c r="U214" s="26"/>
      <c r="V214" s="26"/>
      <c r="W214" s="26"/>
      <c r="X214" s="26"/>
      <c r="Y214" s="27"/>
      <c r="Z214" s="26"/>
      <c r="AA214" s="26"/>
      <c r="AB214" s="27"/>
      <c r="AC214" s="26"/>
      <c r="AD214" s="26"/>
      <c r="AE214" s="27"/>
      <c r="AF214" s="26"/>
      <c r="AG214" s="26"/>
      <c r="AH214" s="27"/>
      <c r="AI214" s="26"/>
      <c r="AJ214" s="27"/>
      <c r="AK214" s="26"/>
      <c r="AL214" s="26"/>
      <c r="AM214" s="26"/>
    </row>
    <row r="215" spans="1:39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7"/>
      <c r="O215" s="28"/>
      <c r="P215" s="26"/>
      <c r="Q215" s="27"/>
      <c r="R215" s="27"/>
      <c r="S215" s="27"/>
      <c r="T215" s="27"/>
      <c r="U215" s="26"/>
      <c r="V215" s="26"/>
      <c r="W215" s="26"/>
      <c r="X215" s="26"/>
      <c r="Y215" s="27"/>
      <c r="Z215" s="26"/>
      <c r="AA215" s="26"/>
      <c r="AB215" s="27"/>
      <c r="AC215" s="26"/>
      <c r="AD215" s="26"/>
      <c r="AE215" s="27"/>
      <c r="AF215" s="26"/>
      <c r="AG215" s="26"/>
      <c r="AH215" s="27"/>
      <c r="AI215" s="26"/>
      <c r="AJ215" s="27"/>
      <c r="AK215" s="26"/>
      <c r="AL215" s="26"/>
      <c r="AM215" s="26"/>
    </row>
    <row r="216" spans="1:39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7"/>
      <c r="O216" s="28"/>
      <c r="P216" s="26"/>
      <c r="Q216" s="27"/>
      <c r="R216" s="27"/>
      <c r="S216" s="27"/>
      <c r="T216" s="27"/>
      <c r="U216" s="26"/>
      <c r="V216" s="26"/>
      <c r="W216" s="26"/>
      <c r="X216" s="26"/>
      <c r="Y216" s="27"/>
      <c r="Z216" s="26"/>
      <c r="AA216" s="26"/>
      <c r="AB216" s="27"/>
      <c r="AC216" s="26"/>
      <c r="AD216" s="26"/>
      <c r="AE216" s="27"/>
      <c r="AF216" s="26"/>
      <c r="AG216" s="26"/>
      <c r="AH216" s="27"/>
      <c r="AI216" s="26"/>
      <c r="AJ216" s="27"/>
      <c r="AK216" s="26"/>
      <c r="AL216" s="26"/>
      <c r="AM216" s="26"/>
    </row>
    <row r="217" spans="1:39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7"/>
      <c r="O217" s="28"/>
      <c r="P217" s="26"/>
      <c r="Q217" s="27"/>
      <c r="R217" s="27"/>
      <c r="S217" s="27"/>
      <c r="T217" s="27"/>
      <c r="U217" s="26"/>
      <c r="V217" s="26"/>
      <c r="W217" s="26"/>
      <c r="X217" s="26"/>
      <c r="Y217" s="27"/>
      <c r="Z217" s="26"/>
      <c r="AA217" s="26"/>
      <c r="AB217" s="27"/>
      <c r="AC217" s="26"/>
      <c r="AD217" s="26"/>
      <c r="AE217" s="27"/>
      <c r="AF217" s="26"/>
      <c r="AG217" s="26"/>
      <c r="AH217" s="27"/>
      <c r="AI217" s="26"/>
      <c r="AJ217" s="27"/>
      <c r="AK217" s="26"/>
      <c r="AL217" s="26"/>
      <c r="AM217" s="26"/>
    </row>
    <row r="218" spans="1:39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7"/>
      <c r="O218" s="28"/>
      <c r="P218" s="26"/>
      <c r="Q218" s="27"/>
      <c r="R218" s="27"/>
      <c r="S218" s="27"/>
      <c r="T218" s="27"/>
      <c r="U218" s="26"/>
      <c r="V218" s="26"/>
      <c r="W218" s="26"/>
      <c r="X218" s="26"/>
      <c r="Y218" s="27"/>
      <c r="Z218" s="26"/>
      <c r="AA218" s="26"/>
      <c r="AB218" s="27"/>
      <c r="AC218" s="26"/>
      <c r="AD218" s="26"/>
      <c r="AE218" s="27"/>
      <c r="AF218" s="26"/>
      <c r="AG218" s="26"/>
      <c r="AH218" s="27"/>
      <c r="AI218" s="26"/>
      <c r="AJ218" s="27"/>
      <c r="AK218" s="26"/>
      <c r="AL218" s="26"/>
      <c r="AM218" s="26"/>
    </row>
    <row r="219" spans="1:39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7"/>
      <c r="O219" s="28"/>
      <c r="P219" s="26"/>
      <c r="Q219" s="27"/>
      <c r="R219" s="27"/>
      <c r="S219" s="27"/>
      <c r="T219" s="27"/>
      <c r="U219" s="26"/>
      <c r="V219" s="26"/>
      <c r="W219" s="26"/>
      <c r="X219" s="26"/>
      <c r="Y219" s="27"/>
      <c r="Z219" s="26"/>
      <c r="AA219" s="26"/>
      <c r="AB219" s="27"/>
      <c r="AC219" s="26"/>
      <c r="AD219" s="26"/>
      <c r="AE219" s="27"/>
      <c r="AF219" s="26"/>
      <c r="AG219" s="26"/>
      <c r="AH219" s="27"/>
      <c r="AI219" s="26"/>
      <c r="AJ219" s="27"/>
      <c r="AK219" s="26"/>
      <c r="AL219" s="26"/>
      <c r="AM219" s="26"/>
    </row>
    <row r="220" spans="1:39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7"/>
      <c r="O220" s="28"/>
      <c r="P220" s="26"/>
      <c r="Q220" s="27"/>
      <c r="R220" s="27"/>
      <c r="S220" s="27"/>
      <c r="T220" s="27"/>
      <c r="U220" s="26"/>
      <c r="V220" s="26"/>
      <c r="W220" s="26"/>
      <c r="X220" s="26"/>
      <c r="Y220" s="27"/>
      <c r="Z220" s="26"/>
      <c r="AA220" s="26"/>
      <c r="AB220" s="27"/>
      <c r="AC220" s="26"/>
      <c r="AD220" s="26"/>
      <c r="AE220" s="27"/>
      <c r="AF220" s="26"/>
      <c r="AG220" s="26"/>
      <c r="AH220" s="27"/>
      <c r="AI220" s="26"/>
      <c r="AJ220" s="27"/>
      <c r="AK220" s="26"/>
      <c r="AL220" s="26"/>
      <c r="AM220" s="26"/>
    </row>
    <row r="221" spans="1:39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7"/>
      <c r="O221" s="28"/>
      <c r="P221" s="26"/>
      <c r="Q221" s="27"/>
      <c r="R221" s="27"/>
      <c r="S221" s="27"/>
      <c r="T221" s="27"/>
      <c r="U221" s="26"/>
      <c r="V221" s="26"/>
      <c r="W221" s="26"/>
      <c r="X221" s="26"/>
      <c r="Y221" s="27"/>
      <c r="Z221" s="26"/>
      <c r="AA221" s="26"/>
      <c r="AB221" s="27"/>
      <c r="AC221" s="26"/>
      <c r="AD221" s="26"/>
      <c r="AE221" s="27"/>
      <c r="AF221" s="26"/>
      <c r="AG221" s="26"/>
      <c r="AH221" s="27"/>
      <c r="AI221" s="26"/>
      <c r="AJ221" s="27"/>
      <c r="AK221" s="26"/>
      <c r="AL221" s="26"/>
      <c r="AM221" s="26"/>
    </row>
    <row r="222" spans="1:39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7"/>
      <c r="O222" s="28"/>
      <c r="P222" s="26"/>
      <c r="Q222" s="27"/>
      <c r="R222" s="27"/>
      <c r="S222" s="27"/>
      <c r="T222" s="27"/>
      <c r="U222" s="26"/>
      <c r="V222" s="26"/>
      <c r="W222" s="26"/>
      <c r="X222" s="26"/>
      <c r="Y222" s="27"/>
      <c r="Z222" s="26"/>
      <c r="AA222" s="26"/>
      <c r="AB222" s="27"/>
      <c r="AC222" s="26"/>
      <c r="AD222" s="26"/>
      <c r="AE222" s="27"/>
      <c r="AF222" s="26"/>
      <c r="AG222" s="26"/>
      <c r="AH222" s="27"/>
      <c r="AI222" s="26"/>
      <c r="AJ222" s="27"/>
      <c r="AK222" s="26"/>
      <c r="AL222" s="26"/>
      <c r="AM222" s="26"/>
    </row>
    <row r="223" spans="1:39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7"/>
      <c r="O223" s="28"/>
      <c r="P223" s="26"/>
      <c r="Q223" s="27"/>
      <c r="R223" s="27"/>
      <c r="S223" s="27"/>
      <c r="T223" s="27"/>
      <c r="U223" s="26"/>
      <c r="V223" s="26"/>
      <c r="W223" s="26"/>
      <c r="X223" s="26"/>
      <c r="Y223" s="27"/>
      <c r="Z223" s="26"/>
      <c r="AA223" s="26"/>
      <c r="AB223" s="27"/>
      <c r="AC223" s="26"/>
      <c r="AD223" s="26"/>
      <c r="AE223" s="27"/>
      <c r="AF223" s="26"/>
      <c r="AG223" s="26"/>
      <c r="AH223" s="27"/>
      <c r="AI223" s="26"/>
      <c r="AJ223" s="27"/>
      <c r="AK223" s="26"/>
      <c r="AL223" s="26"/>
      <c r="AM223" s="26"/>
    </row>
    <row r="224" spans="1:39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7"/>
      <c r="O224" s="28"/>
      <c r="P224" s="26"/>
      <c r="Q224" s="27"/>
      <c r="R224" s="27"/>
      <c r="S224" s="27"/>
      <c r="T224" s="27"/>
      <c r="U224" s="26"/>
      <c r="V224" s="26"/>
      <c r="W224" s="26"/>
      <c r="X224" s="26"/>
      <c r="Y224" s="27"/>
      <c r="Z224" s="26"/>
      <c r="AA224" s="26"/>
      <c r="AB224" s="27"/>
      <c r="AC224" s="26"/>
      <c r="AD224" s="26"/>
      <c r="AE224" s="27"/>
      <c r="AF224" s="26"/>
      <c r="AG224" s="26"/>
      <c r="AH224" s="27"/>
      <c r="AI224" s="26"/>
      <c r="AJ224" s="27"/>
      <c r="AK224" s="26"/>
      <c r="AL224" s="26"/>
      <c r="AM224" s="26"/>
    </row>
    <row r="225" spans="1:39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7"/>
      <c r="O225" s="28"/>
      <c r="P225" s="26"/>
      <c r="Q225" s="27"/>
      <c r="R225" s="27"/>
      <c r="S225" s="27"/>
      <c r="T225" s="27"/>
      <c r="U225" s="26"/>
      <c r="V225" s="26"/>
      <c r="W225" s="26"/>
      <c r="X225" s="26"/>
      <c r="Y225" s="27"/>
      <c r="Z225" s="26"/>
      <c r="AA225" s="26"/>
      <c r="AB225" s="27"/>
      <c r="AC225" s="26"/>
      <c r="AD225" s="26"/>
      <c r="AE225" s="27"/>
      <c r="AF225" s="26"/>
      <c r="AG225" s="26"/>
      <c r="AH225" s="27"/>
      <c r="AI225" s="26"/>
      <c r="AJ225" s="27"/>
      <c r="AK225" s="26"/>
      <c r="AL225" s="26"/>
      <c r="AM225" s="26"/>
    </row>
    <row r="226" spans="1:39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7"/>
      <c r="O226" s="28"/>
      <c r="P226" s="26"/>
      <c r="Q226" s="27"/>
      <c r="R226" s="27"/>
      <c r="S226" s="27"/>
      <c r="T226" s="27"/>
      <c r="U226" s="26"/>
      <c r="V226" s="26"/>
      <c r="W226" s="26"/>
      <c r="X226" s="26"/>
      <c r="Y226" s="27"/>
      <c r="Z226" s="26"/>
      <c r="AA226" s="26"/>
      <c r="AB226" s="27"/>
      <c r="AC226" s="26"/>
      <c r="AD226" s="26"/>
      <c r="AE226" s="27"/>
      <c r="AF226" s="26"/>
      <c r="AG226" s="26"/>
      <c r="AH226" s="27"/>
      <c r="AI226" s="26"/>
      <c r="AJ226" s="27"/>
      <c r="AK226" s="26"/>
      <c r="AL226" s="26"/>
      <c r="AM226" s="26"/>
    </row>
    <row r="227" spans="1:39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7"/>
      <c r="O227" s="28"/>
      <c r="P227" s="26"/>
      <c r="Q227" s="27"/>
      <c r="R227" s="27"/>
      <c r="S227" s="27"/>
      <c r="T227" s="27"/>
      <c r="U227" s="26"/>
      <c r="V227" s="26"/>
      <c r="W227" s="26"/>
      <c r="X227" s="26"/>
      <c r="Y227" s="27"/>
      <c r="Z227" s="26"/>
      <c r="AA227" s="26"/>
      <c r="AB227" s="27"/>
      <c r="AC227" s="26"/>
      <c r="AD227" s="26"/>
      <c r="AE227" s="27"/>
      <c r="AF227" s="26"/>
      <c r="AG227" s="26"/>
      <c r="AH227" s="27"/>
      <c r="AI227" s="26"/>
      <c r="AJ227" s="27"/>
      <c r="AK227" s="26"/>
      <c r="AL227" s="26"/>
      <c r="AM227" s="26"/>
    </row>
    <row r="228" spans="1:39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7"/>
      <c r="O228" s="28"/>
      <c r="P228" s="26"/>
      <c r="Q228" s="27"/>
      <c r="R228" s="27"/>
      <c r="S228" s="27"/>
      <c r="T228" s="27"/>
      <c r="U228" s="26"/>
      <c r="V228" s="26"/>
      <c r="W228" s="26"/>
      <c r="X228" s="26"/>
      <c r="Y228" s="27"/>
      <c r="Z228" s="26"/>
      <c r="AA228" s="26"/>
      <c r="AB228" s="27"/>
      <c r="AC228" s="26"/>
      <c r="AD228" s="26"/>
      <c r="AE228" s="27"/>
      <c r="AF228" s="26"/>
      <c r="AG228" s="26"/>
      <c r="AH228" s="27"/>
      <c r="AI228" s="26"/>
      <c r="AJ228" s="27"/>
      <c r="AK228" s="26"/>
      <c r="AL228" s="26"/>
      <c r="AM228" s="26"/>
    </row>
    <row r="229" spans="1:39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7"/>
      <c r="O229" s="28"/>
      <c r="P229" s="26"/>
      <c r="Q229" s="27"/>
      <c r="R229" s="27"/>
      <c r="S229" s="27"/>
      <c r="T229" s="27"/>
      <c r="U229" s="26"/>
      <c r="V229" s="26"/>
      <c r="W229" s="26"/>
      <c r="X229" s="26"/>
      <c r="Y229" s="27"/>
      <c r="Z229" s="26"/>
      <c r="AA229" s="26"/>
      <c r="AB229" s="27"/>
      <c r="AC229" s="26"/>
      <c r="AD229" s="26"/>
      <c r="AE229" s="27"/>
      <c r="AF229" s="26"/>
      <c r="AG229" s="26"/>
      <c r="AH229" s="27"/>
      <c r="AI229" s="26"/>
      <c r="AJ229" s="27"/>
      <c r="AK229" s="26"/>
      <c r="AL229" s="26"/>
      <c r="AM229" s="26"/>
    </row>
    <row r="230" spans="1:39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7"/>
      <c r="O230" s="28"/>
      <c r="P230" s="26"/>
      <c r="Q230" s="27"/>
      <c r="R230" s="27"/>
      <c r="S230" s="27"/>
      <c r="T230" s="27"/>
      <c r="U230" s="26"/>
      <c r="V230" s="26"/>
      <c r="W230" s="26"/>
      <c r="X230" s="26"/>
      <c r="Y230" s="27"/>
      <c r="Z230" s="26"/>
      <c r="AA230" s="26"/>
      <c r="AB230" s="27"/>
      <c r="AC230" s="26"/>
      <c r="AD230" s="26"/>
      <c r="AE230" s="27"/>
      <c r="AF230" s="26"/>
      <c r="AG230" s="26"/>
      <c r="AH230" s="27"/>
      <c r="AI230" s="26"/>
      <c r="AJ230" s="27"/>
      <c r="AK230" s="26"/>
      <c r="AL230" s="26"/>
      <c r="AM230" s="26"/>
    </row>
    <row r="231" spans="1:39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7"/>
      <c r="O231" s="28"/>
      <c r="P231" s="26"/>
      <c r="Q231" s="27"/>
      <c r="R231" s="27"/>
      <c r="S231" s="27"/>
      <c r="T231" s="27"/>
      <c r="U231" s="26"/>
      <c r="V231" s="26"/>
      <c r="W231" s="26"/>
      <c r="X231" s="26"/>
      <c r="Y231" s="27"/>
      <c r="Z231" s="26"/>
      <c r="AA231" s="26"/>
      <c r="AB231" s="27"/>
      <c r="AC231" s="26"/>
      <c r="AD231" s="26"/>
      <c r="AE231" s="27"/>
      <c r="AF231" s="26"/>
      <c r="AG231" s="26"/>
      <c r="AH231" s="27"/>
      <c r="AI231" s="26"/>
      <c r="AJ231" s="27"/>
      <c r="AK231" s="26"/>
      <c r="AL231" s="26"/>
      <c r="AM231" s="26"/>
    </row>
    <row r="232" spans="1:39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7"/>
      <c r="O232" s="28"/>
      <c r="P232" s="26"/>
      <c r="Q232" s="27"/>
      <c r="R232" s="27"/>
      <c r="S232" s="27"/>
      <c r="T232" s="27"/>
      <c r="U232" s="26"/>
      <c r="V232" s="26"/>
      <c r="W232" s="26"/>
      <c r="X232" s="26"/>
      <c r="Y232" s="27"/>
      <c r="Z232" s="26"/>
      <c r="AA232" s="26"/>
      <c r="AB232" s="27"/>
      <c r="AC232" s="26"/>
      <c r="AD232" s="26"/>
      <c r="AE232" s="27"/>
      <c r="AF232" s="26"/>
      <c r="AG232" s="26"/>
      <c r="AH232" s="27"/>
      <c r="AI232" s="26"/>
      <c r="AJ232" s="27"/>
      <c r="AK232" s="26"/>
      <c r="AL232" s="26"/>
      <c r="AM232" s="26"/>
    </row>
    <row r="233" spans="1:39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7"/>
      <c r="O233" s="28"/>
      <c r="P233" s="26"/>
      <c r="Q233" s="27"/>
      <c r="R233" s="27"/>
      <c r="S233" s="27"/>
      <c r="T233" s="27"/>
      <c r="U233" s="26"/>
      <c r="V233" s="26"/>
      <c r="W233" s="26"/>
      <c r="X233" s="26"/>
      <c r="Y233" s="27"/>
      <c r="Z233" s="26"/>
      <c r="AA233" s="26"/>
      <c r="AB233" s="27"/>
      <c r="AC233" s="26"/>
      <c r="AD233" s="26"/>
      <c r="AE233" s="27"/>
      <c r="AF233" s="26"/>
      <c r="AG233" s="26"/>
      <c r="AH233" s="27"/>
      <c r="AI233" s="26"/>
      <c r="AJ233" s="27"/>
      <c r="AK233" s="26"/>
      <c r="AL233" s="26"/>
      <c r="AM233" s="26"/>
    </row>
    <row r="234" spans="1:39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7"/>
      <c r="O234" s="28"/>
      <c r="P234" s="26"/>
      <c r="Q234" s="27"/>
      <c r="R234" s="27"/>
      <c r="S234" s="27"/>
      <c r="T234" s="27"/>
      <c r="U234" s="26"/>
      <c r="V234" s="26"/>
      <c r="W234" s="26"/>
      <c r="X234" s="26"/>
      <c r="Y234" s="27"/>
      <c r="Z234" s="26"/>
      <c r="AA234" s="26"/>
      <c r="AB234" s="27"/>
      <c r="AC234" s="26"/>
      <c r="AD234" s="26"/>
      <c r="AE234" s="27"/>
      <c r="AF234" s="26"/>
      <c r="AG234" s="26"/>
      <c r="AH234" s="27"/>
      <c r="AI234" s="26"/>
      <c r="AJ234" s="27"/>
      <c r="AK234" s="26"/>
      <c r="AL234" s="26"/>
      <c r="AM234" s="26"/>
    </row>
    <row r="235" spans="1:39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7"/>
      <c r="O235" s="28"/>
      <c r="P235" s="26"/>
      <c r="Q235" s="27"/>
      <c r="R235" s="27"/>
      <c r="S235" s="27"/>
      <c r="T235" s="27"/>
      <c r="U235" s="26"/>
      <c r="V235" s="26"/>
      <c r="W235" s="26"/>
      <c r="X235" s="26"/>
      <c r="Y235" s="27"/>
      <c r="Z235" s="26"/>
      <c r="AA235" s="26"/>
      <c r="AB235" s="27"/>
      <c r="AC235" s="26"/>
      <c r="AD235" s="26"/>
      <c r="AE235" s="27"/>
      <c r="AF235" s="26"/>
      <c r="AG235" s="26"/>
      <c r="AH235" s="27"/>
      <c r="AI235" s="26"/>
      <c r="AJ235" s="27"/>
      <c r="AK235" s="26"/>
      <c r="AL235" s="26"/>
      <c r="AM235" s="26"/>
    </row>
    <row r="236" spans="1:39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7"/>
      <c r="O236" s="28"/>
      <c r="P236" s="26"/>
      <c r="Q236" s="27"/>
      <c r="R236" s="27"/>
      <c r="S236" s="27"/>
      <c r="T236" s="27"/>
      <c r="U236" s="26"/>
      <c r="V236" s="26"/>
      <c r="W236" s="26"/>
      <c r="X236" s="26"/>
      <c r="Y236" s="27"/>
      <c r="Z236" s="26"/>
      <c r="AA236" s="26"/>
      <c r="AB236" s="27"/>
      <c r="AC236" s="26"/>
      <c r="AD236" s="26"/>
      <c r="AE236" s="27"/>
      <c r="AF236" s="26"/>
      <c r="AG236" s="26"/>
      <c r="AH236" s="27"/>
      <c r="AI236" s="26"/>
      <c r="AJ236" s="27"/>
      <c r="AK236" s="26"/>
      <c r="AL236" s="26"/>
      <c r="AM236" s="26"/>
    </row>
    <row r="237" spans="1:39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7"/>
      <c r="O237" s="28"/>
      <c r="P237" s="26"/>
      <c r="Q237" s="27"/>
      <c r="R237" s="27"/>
      <c r="S237" s="27"/>
      <c r="T237" s="27"/>
      <c r="U237" s="26"/>
      <c r="V237" s="26"/>
      <c r="W237" s="26"/>
      <c r="X237" s="26"/>
      <c r="Y237" s="27"/>
      <c r="Z237" s="26"/>
      <c r="AA237" s="26"/>
      <c r="AB237" s="27"/>
      <c r="AC237" s="26"/>
      <c r="AD237" s="26"/>
      <c r="AE237" s="27"/>
      <c r="AF237" s="26"/>
      <c r="AG237" s="26"/>
      <c r="AH237" s="27"/>
      <c r="AI237" s="26"/>
      <c r="AJ237" s="27"/>
      <c r="AK237" s="26"/>
      <c r="AL237" s="26"/>
      <c r="AM237" s="26"/>
    </row>
    <row r="238" spans="1:39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7"/>
      <c r="O238" s="28"/>
      <c r="P238" s="26"/>
      <c r="Q238" s="27"/>
      <c r="R238" s="27"/>
      <c r="S238" s="27"/>
      <c r="T238" s="27"/>
      <c r="U238" s="26"/>
      <c r="V238" s="26"/>
      <c r="W238" s="26"/>
      <c r="X238" s="26"/>
      <c r="Y238" s="27"/>
      <c r="Z238" s="26"/>
      <c r="AA238" s="26"/>
      <c r="AB238" s="27"/>
      <c r="AC238" s="26"/>
      <c r="AD238" s="26"/>
      <c r="AE238" s="27"/>
      <c r="AF238" s="26"/>
      <c r="AG238" s="26"/>
      <c r="AH238" s="27"/>
      <c r="AI238" s="26"/>
      <c r="AJ238" s="27"/>
      <c r="AK238" s="26"/>
      <c r="AL238" s="26"/>
      <c r="AM238" s="26"/>
    </row>
    <row r="239" spans="1:39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7"/>
      <c r="O239" s="28"/>
      <c r="P239" s="26"/>
      <c r="Q239" s="27"/>
      <c r="R239" s="27"/>
      <c r="S239" s="27"/>
      <c r="T239" s="27"/>
      <c r="U239" s="26"/>
      <c r="V239" s="26"/>
      <c r="W239" s="26"/>
      <c r="X239" s="26"/>
      <c r="Y239" s="27"/>
      <c r="Z239" s="26"/>
      <c r="AA239" s="26"/>
      <c r="AB239" s="27"/>
      <c r="AC239" s="26"/>
      <c r="AD239" s="26"/>
      <c r="AE239" s="27"/>
      <c r="AF239" s="26"/>
      <c r="AG239" s="26"/>
      <c r="AH239" s="27"/>
      <c r="AI239" s="26"/>
      <c r="AJ239" s="27"/>
      <c r="AK239" s="26"/>
      <c r="AL239" s="26"/>
      <c r="AM239" s="26"/>
    </row>
    <row r="240" spans="1:39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7"/>
      <c r="O240" s="28"/>
      <c r="P240" s="26"/>
      <c r="Q240" s="27"/>
      <c r="R240" s="27"/>
      <c r="S240" s="27"/>
      <c r="T240" s="27"/>
      <c r="U240" s="26"/>
      <c r="V240" s="26"/>
      <c r="W240" s="26"/>
      <c r="X240" s="26"/>
      <c r="Y240" s="27"/>
      <c r="Z240" s="26"/>
      <c r="AA240" s="26"/>
      <c r="AB240" s="27"/>
      <c r="AC240" s="26"/>
      <c r="AD240" s="26"/>
      <c r="AE240" s="27"/>
      <c r="AF240" s="26"/>
      <c r="AG240" s="26"/>
      <c r="AH240" s="27"/>
      <c r="AI240" s="26"/>
      <c r="AJ240" s="27"/>
      <c r="AK240" s="26"/>
      <c r="AL240" s="26"/>
      <c r="AM240" s="26"/>
    </row>
    <row r="241" spans="1:39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7"/>
      <c r="O241" s="28"/>
      <c r="P241" s="26"/>
      <c r="Q241" s="27"/>
      <c r="R241" s="27"/>
      <c r="S241" s="27"/>
      <c r="T241" s="27"/>
      <c r="U241" s="26"/>
      <c r="V241" s="26"/>
      <c r="W241" s="26"/>
      <c r="X241" s="26"/>
      <c r="Y241" s="27"/>
      <c r="Z241" s="26"/>
      <c r="AA241" s="26"/>
      <c r="AB241" s="27"/>
      <c r="AC241" s="26"/>
      <c r="AD241" s="26"/>
      <c r="AE241" s="27"/>
      <c r="AF241" s="26"/>
      <c r="AG241" s="26"/>
      <c r="AH241" s="27"/>
      <c r="AI241" s="26"/>
      <c r="AJ241" s="27"/>
      <c r="AK241" s="26"/>
      <c r="AL241" s="26"/>
      <c r="AM241" s="26"/>
    </row>
    <row r="242" spans="1:39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7"/>
      <c r="O242" s="28"/>
      <c r="P242" s="26"/>
      <c r="Q242" s="27"/>
      <c r="R242" s="27"/>
      <c r="S242" s="27"/>
      <c r="T242" s="27"/>
      <c r="U242" s="26"/>
      <c r="V242" s="26"/>
      <c r="W242" s="26"/>
      <c r="X242" s="26"/>
      <c r="Y242" s="27"/>
      <c r="Z242" s="26"/>
      <c r="AA242" s="26"/>
      <c r="AB242" s="27"/>
      <c r="AC242" s="26"/>
      <c r="AD242" s="26"/>
      <c r="AE242" s="27"/>
      <c r="AF242" s="26"/>
      <c r="AG242" s="26"/>
      <c r="AH242" s="27"/>
      <c r="AI242" s="26"/>
      <c r="AJ242" s="27"/>
      <c r="AK242" s="26"/>
      <c r="AL242" s="26"/>
      <c r="AM242" s="26"/>
    </row>
    <row r="243" spans="1:39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7"/>
      <c r="O243" s="28"/>
      <c r="P243" s="26"/>
      <c r="Q243" s="27"/>
      <c r="R243" s="27"/>
      <c r="S243" s="27"/>
      <c r="T243" s="27"/>
      <c r="U243" s="26"/>
      <c r="V243" s="26"/>
      <c r="W243" s="26"/>
      <c r="X243" s="26"/>
      <c r="Y243" s="27"/>
      <c r="Z243" s="26"/>
      <c r="AA243" s="26"/>
      <c r="AB243" s="27"/>
      <c r="AC243" s="26"/>
      <c r="AD243" s="26"/>
      <c r="AE243" s="27"/>
      <c r="AF243" s="26"/>
      <c r="AG243" s="26"/>
      <c r="AH243" s="27"/>
      <c r="AI243" s="26"/>
      <c r="AJ243" s="27"/>
      <c r="AK243" s="26"/>
      <c r="AL243" s="26"/>
      <c r="AM243" s="26"/>
    </row>
    <row r="244" spans="1:39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7"/>
      <c r="O244" s="28"/>
      <c r="P244" s="26"/>
      <c r="Q244" s="27"/>
      <c r="R244" s="27"/>
      <c r="S244" s="27"/>
      <c r="T244" s="27"/>
      <c r="U244" s="26"/>
      <c r="V244" s="26"/>
      <c r="W244" s="26"/>
      <c r="X244" s="26"/>
      <c r="Y244" s="27"/>
      <c r="Z244" s="26"/>
      <c r="AA244" s="26"/>
      <c r="AB244" s="27"/>
      <c r="AC244" s="26"/>
      <c r="AD244" s="26"/>
      <c r="AE244" s="27"/>
      <c r="AF244" s="26"/>
      <c r="AG244" s="26"/>
      <c r="AH244" s="27"/>
      <c r="AI244" s="26"/>
      <c r="AJ244" s="27"/>
      <c r="AK244" s="26"/>
      <c r="AL244" s="26"/>
      <c r="AM244" s="26"/>
    </row>
    <row r="245" spans="1:39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7"/>
      <c r="O245" s="28"/>
      <c r="P245" s="26"/>
      <c r="Q245" s="27"/>
      <c r="R245" s="27"/>
      <c r="S245" s="27"/>
      <c r="T245" s="27"/>
      <c r="U245" s="26"/>
      <c r="V245" s="26"/>
      <c r="W245" s="26"/>
      <c r="X245" s="26"/>
      <c r="Y245" s="27"/>
      <c r="Z245" s="26"/>
      <c r="AA245" s="26"/>
      <c r="AB245" s="27"/>
      <c r="AC245" s="26"/>
      <c r="AD245" s="26"/>
      <c r="AE245" s="27"/>
      <c r="AF245" s="26"/>
      <c r="AG245" s="26"/>
      <c r="AH245" s="27"/>
      <c r="AI245" s="26"/>
      <c r="AJ245" s="27"/>
      <c r="AK245" s="26"/>
      <c r="AL245" s="26"/>
      <c r="AM245" s="26"/>
    </row>
    <row r="246" spans="1:39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7"/>
      <c r="O246" s="28"/>
      <c r="P246" s="26"/>
      <c r="Q246" s="27"/>
      <c r="R246" s="27"/>
      <c r="S246" s="27"/>
      <c r="T246" s="27"/>
      <c r="U246" s="26"/>
      <c r="V246" s="26"/>
      <c r="W246" s="26"/>
      <c r="X246" s="26"/>
      <c r="Y246" s="27"/>
      <c r="Z246" s="26"/>
      <c r="AA246" s="26"/>
      <c r="AB246" s="27"/>
      <c r="AC246" s="26"/>
      <c r="AD246" s="26"/>
      <c r="AE246" s="27"/>
      <c r="AF246" s="26"/>
      <c r="AG246" s="26"/>
      <c r="AH246" s="27"/>
      <c r="AI246" s="26"/>
      <c r="AJ246" s="27"/>
      <c r="AK246" s="26"/>
      <c r="AL246" s="26"/>
      <c r="AM246" s="26"/>
    </row>
    <row r="247" spans="1:39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7"/>
      <c r="O247" s="28"/>
      <c r="P247" s="26"/>
      <c r="Q247" s="27"/>
      <c r="R247" s="27"/>
      <c r="S247" s="27"/>
      <c r="T247" s="27"/>
      <c r="U247" s="26"/>
      <c r="V247" s="26"/>
      <c r="W247" s="26"/>
      <c r="X247" s="26"/>
      <c r="Y247" s="27"/>
      <c r="Z247" s="26"/>
      <c r="AA247" s="26"/>
      <c r="AB247" s="27"/>
      <c r="AC247" s="26"/>
      <c r="AD247" s="26"/>
      <c r="AE247" s="27"/>
      <c r="AF247" s="26"/>
      <c r="AG247" s="26"/>
      <c r="AH247" s="27"/>
      <c r="AI247" s="26"/>
      <c r="AJ247" s="27"/>
      <c r="AK247" s="26"/>
      <c r="AL247" s="26"/>
      <c r="AM247" s="26"/>
    </row>
    <row r="248" spans="1:39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7"/>
      <c r="O248" s="28"/>
      <c r="P248" s="26"/>
      <c r="Q248" s="27"/>
      <c r="R248" s="27"/>
      <c r="S248" s="27"/>
      <c r="T248" s="27"/>
      <c r="U248" s="26"/>
      <c r="V248" s="26"/>
      <c r="W248" s="26"/>
      <c r="X248" s="26"/>
      <c r="Y248" s="27"/>
      <c r="Z248" s="26"/>
      <c r="AA248" s="26"/>
      <c r="AB248" s="27"/>
      <c r="AC248" s="26"/>
      <c r="AD248" s="26"/>
      <c r="AE248" s="27"/>
      <c r="AF248" s="26"/>
      <c r="AG248" s="26"/>
      <c r="AH248" s="27"/>
      <c r="AI248" s="26"/>
      <c r="AJ248" s="27"/>
      <c r="AK248" s="26"/>
      <c r="AL248" s="26"/>
      <c r="AM248" s="26"/>
    </row>
    <row r="249" spans="1:39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7"/>
      <c r="O249" s="28"/>
      <c r="P249" s="26"/>
      <c r="Q249" s="27"/>
      <c r="R249" s="27"/>
      <c r="S249" s="27"/>
      <c r="T249" s="27"/>
      <c r="U249" s="26"/>
      <c r="V249" s="26"/>
      <c r="W249" s="26"/>
      <c r="X249" s="26"/>
      <c r="Y249" s="27"/>
      <c r="Z249" s="26"/>
      <c r="AA249" s="26"/>
      <c r="AB249" s="27"/>
      <c r="AC249" s="26"/>
      <c r="AD249" s="26"/>
      <c r="AE249" s="27"/>
      <c r="AF249" s="26"/>
      <c r="AG249" s="26"/>
      <c r="AH249" s="27"/>
      <c r="AI249" s="26"/>
      <c r="AJ249" s="27"/>
      <c r="AK249" s="26"/>
      <c r="AL249" s="26"/>
      <c r="AM249" s="26"/>
    </row>
    <row r="250" spans="1:39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7"/>
      <c r="O250" s="28"/>
      <c r="P250" s="26"/>
      <c r="Q250" s="27"/>
      <c r="R250" s="27"/>
      <c r="S250" s="27"/>
      <c r="T250" s="27"/>
      <c r="U250" s="26"/>
      <c r="V250" s="26"/>
      <c r="W250" s="26"/>
      <c r="X250" s="26"/>
      <c r="Y250" s="27"/>
      <c r="Z250" s="26"/>
      <c r="AA250" s="26"/>
      <c r="AB250" s="27"/>
      <c r="AC250" s="26"/>
      <c r="AD250" s="26"/>
      <c r="AE250" s="27"/>
      <c r="AF250" s="26"/>
      <c r="AG250" s="26"/>
      <c r="AH250" s="27"/>
      <c r="AI250" s="26"/>
      <c r="AJ250" s="27"/>
      <c r="AK250" s="26"/>
      <c r="AL250" s="26"/>
      <c r="AM250" s="26"/>
    </row>
    <row r="251" spans="1:39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7"/>
      <c r="O251" s="28"/>
      <c r="P251" s="26"/>
      <c r="Q251" s="27"/>
      <c r="R251" s="27"/>
      <c r="S251" s="27"/>
      <c r="T251" s="27"/>
      <c r="U251" s="26"/>
      <c r="V251" s="26"/>
      <c r="W251" s="26"/>
      <c r="X251" s="26"/>
      <c r="Y251" s="27"/>
      <c r="Z251" s="26"/>
      <c r="AA251" s="26"/>
      <c r="AB251" s="27"/>
      <c r="AC251" s="26"/>
      <c r="AD251" s="26"/>
      <c r="AE251" s="27"/>
      <c r="AF251" s="26"/>
      <c r="AG251" s="26"/>
      <c r="AH251" s="27"/>
      <c r="AI251" s="26"/>
      <c r="AJ251" s="27"/>
      <c r="AK251" s="26"/>
      <c r="AL251" s="26"/>
      <c r="AM251" s="26"/>
    </row>
    <row r="252" spans="1:39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7"/>
      <c r="O252" s="28"/>
      <c r="P252" s="26"/>
      <c r="Q252" s="27"/>
      <c r="R252" s="27"/>
      <c r="S252" s="27"/>
      <c r="T252" s="27"/>
      <c r="U252" s="26"/>
      <c r="V252" s="26"/>
      <c r="W252" s="26"/>
      <c r="X252" s="26"/>
      <c r="Y252" s="27"/>
      <c r="Z252" s="26"/>
      <c r="AA252" s="26"/>
      <c r="AB252" s="27"/>
      <c r="AC252" s="26"/>
      <c r="AD252" s="26"/>
      <c r="AE252" s="27"/>
      <c r="AF252" s="26"/>
      <c r="AG252" s="26"/>
      <c r="AH252" s="27"/>
      <c r="AI252" s="26"/>
      <c r="AJ252" s="27"/>
      <c r="AK252" s="26"/>
      <c r="AL252" s="26"/>
      <c r="AM252" s="26"/>
    </row>
    <row r="253" spans="1:39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7"/>
      <c r="O253" s="28"/>
      <c r="P253" s="26"/>
      <c r="Q253" s="27"/>
      <c r="R253" s="27"/>
      <c r="S253" s="27"/>
      <c r="T253" s="27"/>
      <c r="U253" s="26"/>
      <c r="V253" s="26"/>
      <c r="W253" s="26"/>
      <c r="X253" s="26"/>
      <c r="Y253" s="27"/>
      <c r="Z253" s="26"/>
      <c r="AA253" s="26"/>
      <c r="AB253" s="27"/>
      <c r="AC253" s="26"/>
      <c r="AD253" s="26"/>
      <c r="AE253" s="27"/>
      <c r="AF253" s="26"/>
      <c r="AG253" s="26"/>
      <c r="AH253" s="27"/>
      <c r="AI253" s="26"/>
      <c r="AJ253" s="27"/>
      <c r="AK253" s="26"/>
      <c r="AL253" s="26"/>
      <c r="AM253" s="26"/>
    </row>
    <row r="254" spans="1:39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7"/>
      <c r="O254" s="28"/>
      <c r="P254" s="26"/>
      <c r="Q254" s="27"/>
      <c r="R254" s="27"/>
      <c r="S254" s="27"/>
      <c r="T254" s="27"/>
      <c r="U254" s="26"/>
      <c r="V254" s="26"/>
      <c r="W254" s="26"/>
      <c r="X254" s="26"/>
      <c r="Y254" s="27"/>
      <c r="Z254" s="26"/>
      <c r="AA254" s="26"/>
      <c r="AB254" s="27"/>
      <c r="AC254" s="26"/>
      <c r="AD254" s="26"/>
      <c r="AE254" s="27"/>
      <c r="AF254" s="26"/>
      <c r="AG254" s="26"/>
      <c r="AH254" s="27"/>
      <c r="AI254" s="26"/>
      <c r="AJ254" s="27"/>
      <c r="AK254" s="26"/>
      <c r="AL254" s="26"/>
      <c r="AM254" s="26"/>
    </row>
    <row r="255" spans="1:39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7"/>
      <c r="O255" s="28"/>
      <c r="P255" s="26"/>
      <c r="Q255" s="27"/>
      <c r="R255" s="27"/>
      <c r="S255" s="27"/>
      <c r="T255" s="27"/>
      <c r="U255" s="26"/>
      <c r="V255" s="26"/>
      <c r="W255" s="26"/>
      <c r="X255" s="26"/>
      <c r="Y255" s="27"/>
      <c r="Z255" s="26"/>
      <c r="AA255" s="26"/>
      <c r="AB255" s="27"/>
      <c r="AC255" s="26"/>
      <c r="AD255" s="26"/>
      <c r="AE255" s="27"/>
      <c r="AF255" s="26"/>
      <c r="AG255" s="26"/>
      <c r="AH255" s="27"/>
      <c r="AI255" s="26"/>
      <c r="AJ255" s="27"/>
      <c r="AK255" s="26"/>
      <c r="AL255" s="26"/>
      <c r="AM255" s="26"/>
    </row>
    <row r="256" spans="1:39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7"/>
      <c r="O256" s="28"/>
      <c r="P256" s="26"/>
      <c r="Q256" s="27"/>
      <c r="R256" s="27"/>
      <c r="S256" s="27"/>
      <c r="T256" s="27"/>
      <c r="U256" s="26"/>
      <c r="V256" s="26"/>
      <c r="W256" s="26"/>
      <c r="X256" s="26"/>
      <c r="Y256" s="27"/>
      <c r="Z256" s="26"/>
      <c r="AA256" s="26"/>
      <c r="AB256" s="27"/>
      <c r="AC256" s="26"/>
      <c r="AD256" s="26"/>
      <c r="AE256" s="27"/>
      <c r="AF256" s="26"/>
      <c r="AG256" s="26"/>
      <c r="AH256" s="27"/>
      <c r="AI256" s="26"/>
      <c r="AJ256" s="27"/>
      <c r="AK256" s="26"/>
      <c r="AL256" s="26"/>
      <c r="AM256" s="26"/>
    </row>
    <row r="257" spans="1:39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7"/>
      <c r="O257" s="28"/>
      <c r="P257" s="26"/>
      <c r="Q257" s="27"/>
      <c r="R257" s="27"/>
      <c r="S257" s="27"/>
      <c r="T257" s="27"/>
      <c r="U257" s="26"/>
      <c r="V257" s="26"/>
      <c r="W257" s="26"/>
      <c r="X257" s="26"/>
      <c r="Y257" s="27"/>
      <c r="Z257" s="26"/>
      <c r="AA257" s="26"/>
      <c r="AB257" s="27"/>
      <c r="AC257" s="26"/>
      <c r="AD257" s="26"/>
      <c r="AE257" s="27"/>
      <c r="AF257" s="26"/>
      <c r="AG257" s="26"/>
      <c r="AH257" s="27"/>
      <c r="AI257" s="26"/>
      <c r="AJ257" s="27"/>
      <c r="AK257" s="26"/>
      <c r="AL257" s="26"/>
      <c r="AM257" s="26"/>
    </row>
    <row r="258" spans="1:39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7"/>
      <c r="O258" s="28"/>
      <c r="P258" s="26"/>
      <c r="Q258" s="27"/>
      <c r="R258" s="27"/>
      <c r="S258" s="27"/>
      <c r="T258" s="27"/>
      <c r="U258" s="26"/>
      <c r="V258" s="26"/>
      <c r="W258" s="26"/>
      <c r="X258" s="26"/>
      <c r="Y258" s="27"/>
      <c r="Z258" s="26"/>
      <c r="AA258" s="26"/>
      <c r="AB258" s="27"/>
      <c r="AC258" s="26"/>
      <c r="AD258" s="26"/>
      <c r="AE258" s="27"/>
      <c r="AF258" s="26"/>
      <c r="AG258" s="26"/>
      <c r="AH258" s="27"/>
      <c r="AI258" s="26"/>
      <c r="AJ258" s="27"/>
      <c r="AK258" s="26"/>
      <c r="AL258" s="26"/>
      <c r="AM258" s="26"/>
    </row>
    <row r="259" spans="1:39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7"/>
      <c r="O259" s="28"/>
      <c r="P259" s="26"/>
      <c r="Q259" s="27"/>
      <c r="R259" s="27"/>
      <c r="S259" s="27"/>
      <c r="T259" s="27"/>
      <c r="U259" s="26"/>
      <c r="V259" s="26"/>
      <c r="W259" s="26"/>
      <c r="X259" s="26"/>
      <c r="Y259" s="27"/>
      <c r="Z259" s="26"/>
      <c r="AA259" s="26"/>
      <c r="AB259" s="27"/>
      <c r="AC259" s="26"/>
      <c r="AD259" s="26"/>
      <c r="AE259" s="27"/>
      <c r="AF259" s="26"/>
      <c r="AG259" s="26"/>
      <c r="AH259" s="27"/>
      <c r="AI259" s="26"/>
      <c r="AJ259" s="27"/>
      <c r="AK259" s="26"/>
      <c r="AL259" s="26"/>
      <c r="AM259" s="26"/>
    </row>
    <row r="260" spans="1:39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7"/>
      <c r="O260" s="28"/>
      <c r="P260" s="26"/>
      <c r="Q260" s="27"/>
      <c r="R260" s="27"/>
      <c r="S260" s="27"/>
      <c r="T260" s="27"/>
      <c r="U260" s="26"/>
      <c r="V260" s="26"/>
      <c r="W260" s="26"/>
      <c r="X260" s="26"/>
      <c r="Y260" s="27"/>
      <c r="Z260" s="26"/>
      <c r="AA260" s="26"/>
      <c r="AB260" s="27"/>
      <c r="AC260" s="26"/>
      <c r="AD260" s="26"/>
      <c r="AE260" s="27"/>
      <c r="AF260" s="26"/>
      <c r="AG260" s="26"/>
      <c r="AH260" s="27"/>
      <c r="AI260" s="26"/>
      <c r="AJ260" s="27"/>
      <c r="AK260" s="26"/>
      <c r="AL260" s="26"/>
      <c r="AM260" s="26"/>
    </row>
    <row r="261" spans="1:39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7"/>
      <c r="O261" s="28"/>
      <c r="P261" s="26"/>
      <c r="Q261" s="27"/>
      <c r="R261" s="27"/>
      <c r="S261" s="27"/>
      <c r="T261" s="27"/>
      <c r="U261" s="26"/>
      <c r="V261" s="26"/>
      <c r="W261" s="26"/>
      <c r="X261" s="26"/>
      <c r="Y261" s="27"/>
      <c r="Z261" s="26"/>
      <c r="AA261" s="26"/>
      <c r="AB261" s="27"/>
      <c r="AC261" s="26"/>
      <c r="AD261" s="26"/>
      <c r="AE261" s="27"/>
      <c r="AF261" s="26"/>
      <c r="AG261" s="26"/>
      <c r="AH261" s="27"/>
      <c r="AI261" s="26"/>
      <c r="AJ261" s="27"/>
      <c r="AK261" s="26"/>
      <c r="AL261" s="26"/>
      <c r="AM261" s="26"/>
    </row>
    <row r="262" spans="1:39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7"/>
      <c r="O262" s="28"/>
      <c r="P262" s="26"/>
      <c r="Q262" s="27"/>
      <c r="R262" s="27"/>
      <c r="S262" s="27"/>
      <c r="T262" s="27"/>
      <c r="U262" s="26"/>
      <c r="V262" s="26"/>
      <c r="W262" s="26"/>
      <c r="X262" s="26"/>
      <c r="Y262" s="27"/>
      <c r="Z262" s="26"/>
      <c r="AA262" s="26"/>
      <c r="AB262" s="27"/>
      <c r="AC262" s="26"/>
      <c r="AD262" s="26"/>
      <c r="AE262" s="27"/>
      <c r="AF262" s="26"/>
      <c r="AG262" s="26"/>
      <c r="AH262" s="27"/>
      <c r="AI262" s="26"/>
      <c r="AJ262" s="27"/>
      <c r="AK262" s="26"/>
      <c r="AL262" s="26"/>
      <c r="AM262" s="26"/>
    </row>
    <row r="263" spans="1:39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7"/>
      <c r="O263" s="28"/>
      <c r="P263" s="26"/>
      <c r="Q263" s="27"/>
      <c r="R263" s="27"/>
      <c r="S263" s="27"/>
      <c r="T263" s="27"/>
      <c r="U263" s="26"/>
      <c r="V263" s="26"/>
      <c r="W263" s="26"/>
      <c r="X263" s="26"/>
      <c r="Y263" s="27"/>
      <c r="Z263" s="26"/>
      <c r="AA263" s="26"/>
      <c r="AB263" s="27"/>
      <c r="AC263" s="26"/>
      <c r="AD263" s="26"/>
      <c r="AE263" s="27"/>
      <c r="AF263" s="26"/>
      <c r="AG263" s="26"/>
      <c r="AH263" s="27"/>
      <c r="AI263" s="26"/>
      <c r="AJ263" s="27"/>
      <c r="AK263" s="26"/>
      <c r="AL263" s="26"/>
      <c r="AM263" s="26"/>
    </row>
    <row r="264" spans="1:39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7"/>
      <c r="O264" s="28"/>
      <c r="P264" s="26"/>
      <c r="Q264" s="27"/>
      <c r="R264" s="27"/>
      <c r="S264" s="27"/>
      <c r="T264" s="27"/>
      <c r="U264" s="26"/>
      <c r="V264" s="26"/>
      <c r="W264" s="26"/>
      <c r="X264" s="26"/>
      <c r="Y264" s="27"/>
      <c r="Z264" s="26"/>
      <c r="AA264" s="26"/>
      <c r="AB264" s="27"/>
      <c r="AC264" s="26"/>
      <c r="AD264" s="26"/>
      <c r="AE264" s="27"/>
      <c r="AF264" s="26"/>
      <c r="AG264" s="26"/>
      <c r="AH264" s="27"/>
      <c r="AI264" s="26"/>
      <c r="AJ264" s="27"/>
      <c r="AK264" s="26"/>
      <c r="AL264" s="26"/>
      <c r="AM264" s="26"/>
    </row>
    <row r="265" spans="1:39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7"/>
      <c r="O265" s="28"/>
      <c r="P265" s="26"/>
      <c r="Q265" s="27"/>
      <c r="R265" s="27"/>
      <c r="S265" s="27"/>
      <c r="T265" s="27"/>
      <c r="U265" s="26"/>
      <c r="V265" s="26"/>
      <c r="W265" s="26"/>
      <c r="X265" s="26"/>
      <c r="Y265" s="27"/>
      <c r="Z265" s="26"/>
      <c r="AA265" s="26"/>
      <c r="AB265" s="27"/>
      <c r="AC265" s="26"/>
      <c r="AD265" s="26"/>
      <c r="AE265" s="27"/>
      <c r="AF265" s="26"/>
      <c r="AG265" s="26"/>
      <c r="AH265" s="27"/>
      <c r="AI265" s="26"/>
      <c r="AJ265" s="27"/>
      <c r="AK265" s="26"/>
      <c r="AL265" s="26"/>
      <c r="AM265" s="26"/>
    </row>
    <row r="266" spans="1:39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7"/>
      <c r="O266" s="28"/>
      <c r="P266" s="26"/>
      <c r="Q266" s="27"/>
      <c r="R266" s="27"/>
      <c r="S266" s="27"/>
      <c r="T266" s="27"/>
      <c r="U266" s="26"/>
      <c r="V266" s="26"/>
      <c r="W266" s="26"/>
      <c r="X266" s="26"/>
      <c r="Y266" s="27"/>
      <c r="Z266" s="26"/>
      <c r="AA266" s="26"/>
      <c r="AB266" s="27"/>
      <c r="AC266" s="26"/>
      <c r="AD266" s="26"/>
      <c r="AE266" s="27"/>
      <c r="AF266" s="26"/>
      <c r="AG266" s="26"/>
      <c r="AH266" s="27"/>
      <c r="AI266" s="26"/>
      <c r="AJ266" s="27"/>
      <c r="AK266" s="26"/>
      <c r="AL266" s="26"/>
      <c r="AM266" s="26"/>
    </row>
    <row r="267" spans="1:39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7"/>
      <c r="O267" s="28"/>
      <c r="P267" s="26"/>
      <c r="Q267" s="27"/>
      <c r="R267" s="27"/>
      <c r="S267" s="27"/>
      <c r="T267" s="27"/>
      <c r="U267" s="26"/>
      <c r="V267" s="26"/>
      <c r="W267" s="26"/>
      <c r="X267" s="26"/>
      <c r="Y267" s="27"/>
      <c r="Z267" s="26"/>
      <c r="AA267" s="26"/>
      <c r="AB267" s="27"/>
      <c r="AC267" s="26"/>
      <c r="AD267" s="26"/>
      <c r="AE267" s="27"/>
      <c r="AF267" s="26"/>
      <c r="AG267" s="26"/>
      <c r="AH267" s="27"/>
      <c r="AI267" s="26"/>
      <c r="AJ267" s="27"/>
      <c r="AK267" s="26"/>
      <c r="AL267" s="26"/>
      <c r="AM267" s="26"/>
    </row>
    <row r="268" spans="1:39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7"/>
      <c r="O268" s="28"/>
      <c r="P268" s="26"/>
      <c r="Q268" s="27"/>
      <c r="R268" s="27"/>
      <c r="S268" s="27"/>
      <c r="T268" s="27"/>
      <c r="U268" s="26"/>
      <c r="V268" s="26"/>
      <c r="W268" s="26"/>
      <c r="X268" s="26"/>
      <c r="Y268" s="27"/>
      <c r="Z268" s="26"/>
      <c r="AA268" s="26"/>
      <c r="AB268" s="27"/>
      <c r="AC268" s="26"/>
      <c r="AD268" s="26"/>
      <c r="AE268" s="27"/>
      <c r="AF268" s="26"/>
      <c r="AG268" s="26"/>
      <c r="AH268" s="27"/>
      <c r="AI268" s="26"/>
      <c r="AJ268" s="27"/>
      <c r="AK268" s="26"/>
      <c r="AL268" s="26"/>
      <c r="AM268" s="26"/>
    </row>
    <row r="269" spans="1:39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7"/>
      <c r="O269" s="28"/>
      <c r="P269" s="26"/>
      <c r="Q269" s="27"/>
      <c r="R269" s="27"/>
      <c r="S269" s="27"/>
      <c r="T269" s="27"/>
      <c r="U269" s="26"/>
      <c r="V269" s="26"/>
      <c r="W269" s="26"/>
      <c r="X269" s="26"/>
      <c r="Y269" s="27"/>
      <c r="Z269" s="26"/>
      <c r="AA269" s="26"/>
      <c r="AB269" s="27"/>
      <c r="AC269" s="26"/>
      <c r="AD269" s="26"/>
      <c r="AE269" s="27"/>
      <c r="AF269" s="26"/>
      <c r="AG269" s="26"/>
      <c r="AH269" s="27"/>
      <c r="AI269" s="26"/>
      <c r="AJ269" s="27"/>
      <c r="AK269" s="26"/>
      <c r="AL269" s="26"/>
      <c r="AM269" s="26"/>
    </row>
    <row r="270" spans="1:39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7"/>
      <c r="O270" s="28"/>
      <c r="P270" s="26"/>
      <c r="Q270" s="27"/>
      <c r="R270" s="27"/>
      <c r="S270" s="27"/>
      <c r="T270" s="27"/>
      <c r="U270" s="26"/>
      <c r="V270" s="26"/>
      <c r="W270" s="26"/>
      <c r="X270" s="26"/>
      <c r="Y270" s="27"/>
      <c r="Z270" s="26"/>
      <c r="AA270" s="26"/>
      <c r="AB270" s="27"/>
      <c r="AC270" s="26"/>
      <c r="AD270" s="26"/>
      <c r="AE270" s="27"/>
      <c r="AF270" s="26"/>
      <c r="AG270" s="26"/>
      <c r="AH270" s="27"/>
      <c r="AI270" s="26"/>
      <c r="AJ270" s="27"/>
      <c r="AK270" s="26"/>
      <c r="AL270" s="26"/>
      <c r="AM270" s="26"/>
    </row>
    <row r="271" spans="1:39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7"/>
      <c r="O271" s="28"/>
      <c r="P271" s="26"/>
      <c r="Q271" s="27"/>
      <c r="R271" s="27"/>
      <c r="S271" s="27"/>
      <c r="T271" s="27"/>
      <c r="U271" s="26"/>
      <c r="V271" s="26"/>
      <c r="W271" s="26"/>
      <c r="X271" s="26"/>
      <c r="Y271" s="27"/>
      <c r="Z271" s="26"/>
      <c r="AA271" s="26"/>
      <c r="AB271" s="27"/>
      <c r="AC271" s="26"/>
      <c r="AD271" s="26"/>
      <c r="AE271" s="27"/>
      <c r="AF271" s="26"/>
      <c r="AG271" s="26"/>
      <c r="AH271" s="27"/>
      <c r="AI271" s="26"/>
      <c r="AJ271" s="27"/>
      <c r="AK271" s="26"/>
      <c r="AL271" s="26"/>
      <c r="AM271" s="26"/>
    </row>
    <row r="272" spans="1:39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7"/>
      <c r="O272" s="28"/>
      <c r="P272" s="26"/>
      <c r="Q272" s="27"/>
      <c r="R272" s="27"/>
      <c r="S272" s="27"/>
      <c r="T272" s="27"/>
      <c r="U272" s="26"/>
      <c r="V272" s="26"/>
      <c r="W272" s="26"/>
      <c r="X272" s="26"/>
      <c r="Y272" s="27"/>
      <c r="Z272" s="26"/>
      <c r="AA272" s="26"/>
      <c r="AB272" s="27"/>
      <c r="AC272" s="26"/>
      <c r="AD272" s="26"/>
      <c r="AE272" s="27"/>
      <c r="AF272" s="26"/>
      <c r="AG272" s="26"/>
      <c r="AH272" s="27"/>
      <c r="AI272" s="26"/>
      <c r="AJ272" s="27"/>
      <c r="AK272" s="26"/>
      <c r="AL272" s="26"/>
      <c r="AM272" s="26"/>
    </row>
    <row r="273" spans="1:39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7"/>
      <c r="O273" s="28"/>
      <c r="P273" s="26"/>
      <c r="Q273" s="27"/>
      <c r="R273" s="27"/>
      <c r="S273" s="27"/>
      <c r="T273" s="27"/>
      <c r="U273" s="26"/>
      <c r="V273" s="26"/>
      <c r="W273" s="26"/>
      <c r="X273" s="26"/>
      <c r="Y273" s="27"/>
      <c r="Z273" s="26"/>
      <c r="AA273" s="26"/>
      <c r="AB273" s="27"/>
      <c r="AC273" s="26"/>
      <c r="AD273" s="26"/>
      <c r="AE273" s="27"/>
      <c r="AF273" s="26"/>
      <c r="AG273" s="26"/>
      <c r="AH273" s="27"/>
      <c r="AI273" s="26"/>
      <c r="AJ273" s="27"/>
      <c r="AK273" s="26"/>
      <c r="AL273" s="26"/>
      <c r="AM273" s="26"/>
    </row>
    <row r="274" spans="1:39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7"/>
      <c r="O274" s="28"/>
      <c r="P274" s="26"/>
      <c r="Q274" s="27"/>
      <c r="R274" s="27"/>
      <c r="S274" s="27"/>
      <c r="T274" s="27"/>
      <c r="U274" s="26"/>
      <c r="V274" s="26"/>
      <c r="W274" s="26"/>
      <c r="X274" s="26"/>
      <c r="Y274" s="27"/>
      <c r="Z274" s="26"/>
      <c r="AA274" s="26"/>
      <c r="AB274" s="27"/>
      <c r="AC274" s="26"/>
      <c r="AD274" s="26"/>
      <c r="AE274" s="27"/>
      <c r="AF274" s="26"/>
      <c r="AG274" s="26"/>
      <c r="AH274" s="27"/>
      <c r="AI274" s="26"/>
      <c r="AJ274" s="27"/>
      <c r="AK274" s="26"/>
      <c r="AL274" s="26"/>
      <c r="AM274" s="26"/>
    </row>
    <row r="275" spans="1:39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7"/>
      <c r="O275" s="28"/>
      <c r="P275" s="26"/>
      <c r="Q275" s="27"/>
      <c r="R275" s="27"/>
      <c r="S275" s="27"/>
      <c r="T275" s="27"/>
      <c r="U275" s="26"/>
      <c r="V275" s="26"/>
      <c r="W275" s="26"/>
      <c r="X275" s="26"/>
      <c r="Y275" s="27"/>
      <c r="Z275" s="26"/>
      <c r="AA275" s="26"/>
      <c r="AB275" s="27"/>
      <c r="AC275" s="26"/>
      <c r="AD275" s="26"/>
      <c r="AE275" s="27"/>
      <c r="AF275" s="26"/>
      <c r="AG275" s="26"/>
      <c r="AH275" s="27"/>
      <c r="AI275" s="26"/>
      <c r="AJ275" s="27"/>
      <c r="AK275" s="26"/>
      <c r="AL275" s="26"/>
      <c r="AM275" s="26"/>
    </row>
    <row r="276" spans="1:39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7"/>
      <c r="O276" s="28"/>
      <c r="P276" s="26"/>
      <c r="Q276" s="27"/>
      <c r="R276" s="27"/>
      <c r="S276" s="27"/>
      <c r="T276" s="27"/>
      <c r="U276" s="26"/>
      <c r="V276" s="26"/>
      <c r="W276" s="26"/>
      <c r="X276" s="26"/>
      <c r="Y276" s="27"/>
      <c r="Z276" s="26"/>
      <c r="AA276" s="26"/>
      <c r="AB276" s="27"/>
      <c r="AC276" s="26"/>
      <c r="AD276" s="26"/>
      <c r="AE276" s="27"/>
      <c r="AF276" s="26"/>
      <c r="AG276" s="26"/>
      <c r="AH276" s="27"/>
      <c r="AI276" s="26"/>
      <c r="AJ276" s="27"/>
      <c r="AK276" s="26"/>
      <c r="AL276" s="26"/>
      <c r="AM276" s="26"/>
    </row>
    <row r="277" spans="1:39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7"/>
      <c r="O277" s="28"/>
      <c r="P277" s="26"/>
      <c r="Q277" s="27"/>
      <c r="R277" s="27"/>
      <c r="S277" s="27"/>
      <c r="T277" s="27"/>
      <c r="U277" s="26"/>
      <c r="V277" s="26"/>
      <c r="W277" s="26"/>
      <c r="X277" s="26"/>
      <c r="Y277" s="27"/>
      <c r="Z277" s="26"/>
      <c r="AA277" s="26"/>
      <c r="AB277" s="27"/>
      <c r="AC277" s="26"/>
      <c r="AD277" s="26"/>
      <c r="AE277" s="27"/>
      <c r="AF277" s="26"/>
      <c r="AG277" s="26"/>
      <c r="AH277" s="27"/>
      <c r="AI277" s="26"/>
      <c r="AJ277" s="27"/>
      <c r="AK277" s="26"/>
      <c r="AL277" s="26"/>
      <c r="AM277" s="26"/>
    </row>
    <row r="278" spans="1:39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7"/>
      <c r="O278" s="28"/>
      <c r="P278" s="26"/>
      <c r="Q278" s="27"/>
      <c r="R278" s="27"/>
      <c r="S278" s="27"/>
      <c r="T278" s="27"/>
      <c r="U278" s="26"/>
      <c r="V278" s="26"/>
      <c r="W278" s="26"/>
      <c r="X278" s="26"/>
      <c r="Y278" s="27"/>
      <c r="Z278" s="26"/>
      <c r="AA278" s="26"/>
      <c r="AB278" s="27"/>
      <c r="AC278" s="26"/>
      <c r="AD278" s="26"/>
      <c r="AE278" s="27"/>
      <c r="AF278" s="26"/>
      <c r="AG278" s="26"/>
      <c r="AH278" s="27"/>
      <c r="AI278" s="26"/>
      <c r="AJ278" s="27"/>
      <c r="AK278" s="26"/>
      <c r="AL278" s="26"/>
      <c r="AM278" s="26"/>
    </row>
    <row r="279" spans="1:39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7"/>
      <c r="O279" s="28"/>
      <c r="P279" s="26"/>
      <c r="Q279" s="27"/>
      <c r="R279" s="27"/>
      <c r="S279" s="27"/>
      <c r="T279" s="27"/>
      <c r="U279" s="26"/>
      <c r="V279" s="26"/>
      <c r="W279" s="26"/>
      <c r="X279" s="26"/>
      <c r="Y279" s="27"/>
      <c r="Z279" s="26"/>
      <c r="AA279" s="26"/>
      <c r="AB279" s="27"/>
      <c r="AC279" s="26"/>
      <c r="AD279" s="26"/>
      <c r="AE279" s="27"/>
      <c r="AF279" s="26"/>
      <c r="AG279" s="26"/>
      <c r="AH279" s="27"/>
      <c r="AI279" s="26"/>
      <c r="AJ279" s="27"/>
      <c r="AK279" s="26"/>
      <c r="AL279" s="26"/>
      <c r="AM279" s="26"/>
    </row>
    <row r="280" spans="1:39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7"/>
      <c r="O280" s="28"/>
      <c r="P280" s="26"/>
      <c r="Q280" s="27"/>
      <c r="R280" s="27"/>
      <c r="S280" s="27"/>
      <c r="T280" s="27"/>
      <c r="U280" s="26"/>
      <c r="V280" s="26"/>
      <c r="W280" s="26"/>
      <c r="X280" s="26"/>
      <c r="Y280" s="27"/>
      <c r="Z280" s="26"/>
      <c r="AA280" s="26"/>
      <c r="AB280" s="27"/>
      <c r="AC280" s="26"/>
      <c r="AD280" s="26"/>
      <c r="AE280" s="27"/>
      <c r="AF280" s="26"/>
      <c r="AG280" s="26"/>
      <c r="AH280" s="27"/>
      <c r="AI280" s="26"/>
      <c r="AJ280" s="27"/>
      <c r="AK280" s="26"/>
      <c r="AL280" s="26"/>
      <c r="AM280" s="26"/>
    </row>
    <row r="281" spans="1:39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7"/>
      <c r="O281" s="28"/>
      <c r="P281" s="26"/>
      <c r="Q281" s="27"/>
      <c r="R281" s="27"/>
      <c r="S281" s="27"/>
      <c r="T281" s="27"/>
      <c r="U281" s="26"/>
      <c r="V281" s="26"/>
      <c r="W281" s="26"/>
      <c r="X281" s="26"/>
      <c r="Y281" s="27"/>
      <c r="Z281" s="26"/>
      <c r="AA281" s="26"/>
      <c r="AB281" s="27"/>
      <c r="AC281" s="26"/>
      <c r="AD281" s="26"/>
      <c r="AE281" s="27"/>
      <c r="AF281" s="26"/>
      <c r="AG281" s="26"/>
      <c r="AH281" s="27"/>
      <c r="AI281" s="26"/>
      <c r="AJ281" s="27"/>
      <c r="AK281" s="26"/>
      <c r="AL281" s="26"/>
      <c r="AM281" s="26"/>
    </row>
    <row r="282" spans="1:39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7"/>
      <c r="O282" s="28"/>
      <c r="P282" s="26"/>
      <c r="Q282" s="27"/>
      <c r="R282" s="27"/>
      <c r="S282" s="27"/>
      <c r="T282" s="27"/>
      <c r="U282" s="26"/>
      <c r="V282" s="26"/>
      <c r="W282" s="26"/>
      <c r="X282" s="26"/>
      <c r="Y282" s="27"/>
      <c r="Z282" s="26"/>
      <c r="AA282" s="26"/>
      <c r="AB282" s="27"/>
      <c r="AC282" s="26"/>
      <c r="AD282" s="26"/>
      <c r="AE282" s="27"/>
      <c r="AF282" s="26"/>
      <c r="AG282" s="26"/>
      <c r="AH282" s="27"/>
      <c r="AI282" s="26"/>
      <c r="AJ282" s="27"/>
      <c r="AK282" s="26"/>
      <c r="AL282" s="26"/>
      <c r="AM282" s="26"/>
    </row>
    <row r="283" spans="1:39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7"/>
      <c r="O283" s="28"/>
      <c r="P283" s="26"/>
      <c r="Q283" s="27"/>
      <c r="R283" s="27"/>
      <c r="S283" s="27"/>
      <c r="T283" s="27"/>
      <c r="U283" s="26"/>
      <c r="V283" s="26"/>
      <c r="W283" s="26"/>
      <c r="X283" s="26"/>
      <c r="Y283" s="27"/>
      <c r="Z283" s="26"/>
      <c r="AA283" s="26"/>
      <c r="AB283" s="27"/>
      <c r="AC283" s="26"/>
      <c r="AD283" s="26"/>
      <c r="AE283" s="27"/>
      <c r="AF283" s="26"/>
      <c r="AG283" s="26"/>
      <c r="AH283" s="27"/>
      <c r="AI283" s="26"/>
      <c r="AJ283" s="27"/>
      <c r="AK283" s="26"/>
      <c r="AL283" s="26"/>
      <c r="AM283" s="26"/>
    </row>
    <row r="284" spans="1:39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7"/>
      <c r="O284" s="28"/>
      <c r="P284" s="26"/>
      <c r="Q284" s="27"/>
      <c r="R284" s="27"/>
      <c r="S284" s="27"/>
      <c r="T284" s="27"/>
      <c r="U284" s="26"/>
      <c r="V284" s="26"/>
      <c r="W284" s="26"/>
      <c r="X284" s="26"/>
      <c r="Y284" s="27"/>
      <c r="Z284" s="26"/>
      <c r="AA284" s="26"/>
      <c r="AB284" s="27"/>
      <c r="AC284" s="26"/>
      <c r="AD284" s="26"/>
      <c r="AE284" s="27"/>
      <c r="AF284" s="26"/>
      <c r="AG284" s="26"/>
      <c r="AH284" s="27"/>
      <c r="AI284" s="26"/>
      <c r="AJ284" s="27"/>
      <c r="AK284" s="26"/>
      <c r="AL284" s="26"/>
      <c r="AM284" s="26"/>
    </row>
    <row r="285" spans="1:39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7"/>
      <c r="O285" s="28"/>
      <c r="P285" s="26"/>
      <c r="Q285" s="27"/>
      <c r="R285" s="27"/>
      <c r="S285" s="27"/>
      <c r="T285" s="27"/>
      <c r="U285" s="26"/>
      <c r="V285" s="26"/>
      <c r="W285" s="26"/>
      <c r="X285" s="26"/>
      <c r="Y285" s="27"/>
      <c r="Z285" s="26"/>
      <c r="AA285" s="26"/>
      <c r="AB285" s="27"/>
      <c r="AC285" s="26"/>
      <c r="AD285" s="26"/>
      <c r="AE285" s="27"/>
      <c r="AF285" s="26"/>
      <c r="AG285" s="26"/>
      <c r="AH285" s="27"/>
      <c r="AI285" s="26"/>
      <c r="AJ285" s="27"/>
      <c r="AK285" s="26"/>
      <c r="AL285" s="26"/>
      <c r="AM285" s="26"/>
    </row>
    <row r="286" spans="1:39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7"/>
      <c r="O286" s="28"/>
      <c r="P286" s="26"/>
      <c r="Q286" s="27"/>
      <c r="R286" s="27"/>
      <c r="S286" s="27"/>
      <c r="T286" s="27"/>
      <c r="U286" s="26"/>
      <c r="V286" s="26"/>
      <c r="W286" s="26"/>
      <c r="X286" s="26"/>
      <c r="Y286" s="27"/>
      <c r="Z286" s="26"/>
      <c r="AA286" s="26"/>
      <c r="AB286" s="27"/>
      <c r="AC286" s="26"/>
      <c r="AD286" s="26"/>
      <c r="AE286" s="27"/>
      <c r="AF286" s="26"/>
      <c r="AG286" s="26"/>
      <c r="AH286" s="27"/>
      <c r="AI286" s="26"/>
      <c r="AJ286" s="27"/>
      <c r="AK286" s="26"/>
      <c r="AL286" s="26"/>
      <c r="AM286" s="26"/>
    </row>
    <row r="287" spans="1:39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7"/>
      <c r="O287" s="28"/>
      <c r="P287" s="26"/>
      <c r="Q287" s="27"/>
      <c r="R287" s="27"/>
      <c r="S287" s="27"/>
      <c r="T287" s="27"/>
      <c r="U287" s="26"/>
      <c r="V287" s="26"/>
      <c r="W287" s="26"/>
      <c r="X287" s="26"/>
      <c r="Y287" s="27"/>
      <c r="Z287" s="26"/>
      <c r="AA287" s="26"/>
      <c r="AB287" s="27"/>
      <c r="AC287" s="26"/>
      <c r="AD287" s="26"/>
      <c r="AE287" s="27"/>
      <c r="AF287" s="26"/>
      <c r="AG287" s="26"/>
      <c r="AH287" s="27"/>
      <c r="AI287" s="26"/>
      <c r="AJ287" s="27"/>
      <c r="AK287" s="26"/>
      <c r="AL287" s="26"/>
      <c r="AM287" s="26"/>
    </row>
    <row r="288" spans="1:39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7"/>
      <c r="O288" s="28"/>
      <c r="P288" s="26"/>
      <c r="Q288" s="27"/>
      <c r="R288" s="27"/>
      <c r="S288" s="27"/>
      <c r="T288" s="27"/>
      <c r="U288" s="26"/>
      <c r="V288" s="26"/>
      <c r="W288" s="26"/>
      <c r="X288" s="26"/>
      <c r="Y288" s="27"/>
      <c r="Z288" s="26"/>
      <c r="AA288" s="26"/>
      <c r="AB288" s="27"/>
      <c r="AC288" s="26"/>
      <c r="AD288" s="26"/>
      <c r="AE288" s="27"/>
      <c r="AF288" s="26"/>
      <c r="AG288" s="26"/>
      <c r="AH288" s="27"/>
      <c r="AI288" s="26"/>
      <c r="AJ288" s="27"/>
      <c r="AK288" s="26"/>
      <c r="AL288" s="26"/>
      <c r="AM288" s="26"/>
    </row>
    <row r="289" spans="1:39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7"/>
      <c r="O289" s="28"/>
      <c r="P289" s="26"/>
      <c r="Q289" s="27"/>
      <c r="R289" s="27"/>
      <c r="S289" s="27"/>
      <c r="T289" s="27"/>
      <c r="U289" s="26"/>
      <c r="V289" s="26"/>
      <c r="W289" s="26"/>
      <c r="X289" s="26"/>
      <c r="Y289" s="27"/>
      <c r="Z289" s="26"/>
      <c r="AA289" s="26"/>
      <c r="AB289" s="27"/>
      <c r="AC289" s="26"/>
      <c r="AD289" s="26"/>
      <c r="AE289" s="27"/>
      <c r="AF289" s="26"/>
      <c r="AG289" s="26"/>
      <c r="AH289" s="27"/>
      <c r="AI289" s="26"/>
      <c r="AJ289" s="27"/>
      <c r="AK289" s="26"/>
      <c r="AL289" s="26"/>
      <c r="AM289" s="26"/>
    </row>
    <row r="290" spans="1:39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7"/>
      <c r="O290" s="28"/>
      <c r="P290" s="26"/>
      <c r="Q290" s="27"/>
      <c r="R290" s="27"/>
      <c r="S290" s="27"/>
      <c r="T290" s="27"/>
      <c r="U290" s="26"/>
      <c r="V290" s="26"/>
      <c r="W290" s="26"/>
      <c r="X290" s="26"/>
      <c r="Y290" s="27"/>
      <c r="Z290" s="26"/>
      <c r="AA290" s="26"/>
      <c r="AB290" s="27"/>
      <c r="AC290" s="26"/>
      <c r="AD290" s="26"/>
      <c r="AE290" s="27"/>
      <c r="AF290" s="26"/>
      <c r="AG290" s="26"/>
      <c r="AH290" s="27"/>
      <c r="AI290" s="26"/>
      <c r="AJ290" s="27"/>
      <c r="AK290" s="26"/>
      <c r="AL290" s="26"/>
      <c r="AM290" s="26"/>
    </row>
    <row r="291" spans="1:39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7"/>
      <c r="O291" s="28"/>
      <c r="P291" s="26"/>
      <c r="Q291" s="27"/>
      <c r="R291" s="27"/>
      <c r="S291" s="27"/>
      <c r="T291" s="27"/>
      <c r="U291" s="26"/>
      <c r="V291" s="26"/>
      <c r="W291" s="26"/>
      <c r="X291" s="26"/>
      <c r="Y291" s="27"/>
      <c r="Z291" s="26"/>
      <c r="AA291" s="26"/>
      <c r="AB291" s="27"/>
      <c r="AC291" s="26"/>
      <c r="AD291" s="26"/>
      <c r="AE291" s="27"/>
      <c r="AF291" s="26"/>
      <c r="AG291" s="26"/>
      <c r="AH291" s="27"/>
      <c r="AI291" s="26"/>
      <c r="AJ291" s="27"/>
      <c r="AK291" s="26"/>
      <c r="AL291" s="26"/>
      <c r="AM291" s="26"/>
    </row>
    <row r="292" spans="1:39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7"/>
      <c r="O292" s="28"/>
      <c r="P292" s="26"/>
      <c r="Q292" s="27"/>
      <c r="R292" s="27"/>
      <c r="S292" s="27"/>
      <c r="T292" s="27"/>
      <c r="U292" s="26"/>
      <c r="V292" s="26"/>
      <c r="W292" s="26"/>
      <c r="X292" s="26"/>
      <c r="Y292" s="27"/>
      <c r="Z292" s="26"/>
      <c r="AA292" s="26"/>
      <c r="AB292" s="27"/>
      <c r="AC292" s="26"/>
      <c r="AD292" s="26"/>
      <c r="AE292" s="27"/>
      <c r="AF292" s="26"/>
      <c r="AG292" s="26"/>
      <c r="AH292" s="27"/>
      <c r="AI292" s="26"/>
      <c r="AJ292" s="27"/>
      <c r="AK292" s="26"/>
      <c r="AL292" s="26"/>
      <c r="AM292" s="26"/>
    </row>
    <row r="293" spans="1:39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7"/>
      <c r="O293" s="28"/>
      <c r="P293" s="26"/>
      <c r="Q293" s="27"/>
      <c r="R293" s="27"/>
      <c r="S293" s="27"/>
      <c r="T293" s="27"/>
      <c r="U293" s="26"/>
      <c r="V293" s="26"/>
      <c r="W293" s="26"/>
      <c r="X293" s="26"/>
      <c r="Y293" s="27"/>
      <c r="Z293" s="26"/>
      <c r="AA293" s="26"/>
      <c r="AB293" s="27"/>
      <c r="AC293" s="26"/>
      <c r="AD293" s="26"/>
      <c r="AE293" s="27"/>
      <c r="AF293" s="26"/>
      <c r="AG293" s="26"/>
      <c r="AH293" s="27"/>
      <c r="AI293" s="26"/>
      <c r="AJ293" s="27"/>
      <c r="AK293" s="26"/>
      <c r="AL293" s="26"/>
      <c r="AM293" s="26"/>
    </row>
    <row r="294" spans="1:39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7"/>
      <c r="O294" s="28"/>
      <c r="P294" s="26"/>
      <c r="Q294" s="27"/>
      <c r="R294" s="27"/>
      <c r="S294" s="27"/>
      <c r="T294" s="27"/>
      <c r="U294" s="26"/>
      <c r="V294" s="26"/>
      <c r="W294" s="26"/>
      <c r="X294" s="26"/>
      <c r="Y294" s="27"/>
      <c r="Z294" s="26"/>
      <c r="AA294" s="26"/>
      <c r="AB294" s="27"/>
      <c r="AC294" s="26"/>
      <c r="AD294" s="26"/>
      <c r="AE294" s="27"/>
      <c r="AF294" s="26"/>
      <c r="AG294" s="26"/>
      <c r="AH294" s="27"/>
      <c r="AI294" s="26"/>
      <c r="AJ294" s="27"/>
      <c r="AK294" s="26"/>
      <c r="AL294" s="26"/>
      <c r="AM294" s="26"/>
    </row>
    <row r="295" spans="1:39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7"/>
      <c r="O295" s="28"/>
      <c r="P295" s="26"/>
      <c r="Q295" s="27"/>
      <c r="R295" s="27"/>
      <c r="S295" s="27"/>
      <c r="T295" s="27"/>
      <c r="U295" s="26"/>
      <c r="V295" s="26"/>
      <c r="W295" s="26"/>
      <c r="X295" s="26"/>
      <c r="Y295" s="27"/>
      <c r="Z295" s="26"/>
      <c r="AA295" s="26"/>
      <c r="AB295" s="27"/>
      <c r="AC295" s="26"/>
      <c r="AD295" s="26"/>
      <c r="AE295" s="27"/>
      <c r="AF295" s="26"/>
      <c r="AG295" s="26"/>
      <c r="AH295" s="27"/>
      <c r="AI295" s="26"/>
      <c r="AJ295" s="27"/>
      <c r="AK295" s="26"/>
      <c r="AL295" s="26"/>
      <c r="AM295" s="26"/>
    </row>
    <row r="296" spans="1:39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7"/>
      <c r="O296" s="28"/>
      <c r="P296" s="26"/>
      <c r="Q296" s="27"/>
      <c r="R296" s="27"/>
      <c r="S296" s="27"/>
      <c r="T296" s="27"/>
      <c r="U296" s="26"/>
      <c r="V296" s="26"/>
      <c r="W296" s="26"/>
      <c r="X296" s="26"/>
      <c r="Y296" s="27"/>
      <c r="Z296" s="26"/>
      <c r="AA296" s="26"/>
      <c r="AB296" s="27"/>
      <c r="AC296" s="26"/>
      <c r="AD296" s="26"/>
      <c r="AE296" s="27"/>
      <c r="AF296" s="26"/>
      <c r="AG296" s="26"/>
      <c r="AH296" s="27"/>
      <c r="AI296" s="26"/>
      <c r="AJ296" s="27"/>
      <c r="AK296" s="26"/>
      <c r="AL296" s="26"/>
      <c r="AM296" s="26"/>
    </row>
    <row r="297" spans="1:39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7"/>
      <c r="O297" s="28"/>
      <c r="P297" s="26"/>
      <c r="Q297" s="27"/>
      <c r="R297" s="27"/>
      <c r="S297" s="27"/>
      <c r="T297" s="27"/>
      <c r="U297" s="26"/>
      <c r="V297" s="26"/>
      <c r="W297" s="26"/>
      <c r="X297" s="26"/>
      <c r="Y297" s="27"/>
      <c r="Z297" s="26"/>
      <c r="AA297" s="26"/>
      <c r="AB297" s="27"/>
      <c r="AC297" s="26"/>
      <c r="AD297" s="26"/>
      <c r="AE297" s="27"/>
      <c r="AF297" s="26"/>
      <c r="AG297" s="26"/>
      <c r="AH297" s="27"/>
      <c r="AI297" s="26"/>
      <c r="AJ297" s="27"/>
      <c r="AK297" s="26"/>
      <c r="AL297" s="26"/>
      <c r="AM297" s="26"/>
    </row>
    <row r="298" spans="1:39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7"/>
      <c r="O298" s="28"/>
      <c r="P298" s="26"/>
      <c r="Q298" s="27"/>
      <c r="R298" s="27"/>
      <c r="S298" s="27"/>
      <c r="T298" s="27"/>
      <c r="U298" s="26"/>
      <c r="V298" s="26"/>
      <c r="W298" s="26"/>
      <c r="X298" s="26"/>
      <c r="Y298" s="27"/>
      <c r="Z298" s="26"/>
      <c r="AA298" s="26"/>
      <c r="AB298" s="27"/>
      <c r="AC298" s="26"/>
      <c r="AD298" s="26"/>
      <c r="AE298" s="27"/>
      <c r="AF298" s="26"/>
      <c r="AG298" s="26"/>
      <c r="AH298" s="27"/>
      <c r="AI298" s="26"/>
      <c r="AJ298" s="27"/>
      <c r="AK298" s="26"/>
      <c r="AL298" s="26"/>
      <c r="AM298" s="26"/>
    </row>
    <row r="299" spans="1:39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7"/>
      <c r="O299" s="28"/>
      <c r="P299" s="26"/>
      <c r="Q299" s="27"/>
      <c r="R299" s="27"/>
      <c r="S299" s="27"/>
      <c r="T299" s="27"/>
      <c r="U299" s="26"/>
      <c r="V299" s="26"/>
      <c r="W299" s="26"/>
      <c r="X299" s="26"/>
      <c r="Y299" s="27"/>
      <c r="Z299" s="26"/>
      <c r="AA299" s="26"/>
      <c r="AB299" s="27"/>
      <c r="AC299" s="26"/>
      <c r="AD299" s="26"/>
      <c r="AE299" s="27"/>
      <c r="AF299" s="26"/>
      <c r="AG299" s="26"/>
      <c r="AH299" s="27"/>
      <c r="AI299" s="26"/>
      <c r="AJ299" s="27"/>
      <c r="AK299" s="26"/>
      <c r="AL299" s="26"/>
      <c r="AM299" s="26"/>
    </row>
    <row r="300" spans="1:39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7"/>
      <c r="O300" s="28"/>
      <c r="P300" s="26"/>
      <c r="Q300" s="27"/>
      <c r="R300" s="27"/>
      <c r="S300" s="27"/>
      <c r="T300" s="27"/>
      <c r="U300" s="26"/>
      <c r="V300" s="26"/>
      <c r="W300" s="26"/>
      <c r="X300" s="26"/>
      <c r="Y300" s="27"/>
      <c r="Z300" s="26"/>
      <c r="AA300" s="26"/>
      <c r="AB300" s="27"/>
      <c r="AC300" s="26"/>
      <c r="AD300" s="26"/>
      <c r="AE300" s="27"/>
      <c r="AF300" s="26"/>
      <c r="AG300" s="26"/>
      <c r="AH300" s="27"/>
      <c r="AI300" s="26"/>
      <c r="AJ300" s="27"/>
      <c r="AK300" s="26"/>
      <c r="AL300" s="26"/>
      <c r="AM300" s="26"/>
    </row>
    <row r="301" spans="1:39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7"/>
      <c r="O301" s="28"/>
      <c r="P301" s="26"/>
      <c r="Q301" s="27"/>
      <c r="R301" s="27"/>
      <c r="S301" s="27"/>
      <c r="T301" s="27"/>
      <c r="U301" s="26"/>
      <c r="V301" s="26"/>
      <c r="W301" s="26"/>
      <c r="X301" s="26"/>
      <c r="Y301" s="27"/>
      <c r="Z301" s="26"/>
      <c r="AA301" s="26"/>
      <c r="AB301" s="27"/>
      <c r="AC301" s="26"/>
      <c r="AD301" s="26"/>
      <c r="AE301" s="27"/>
      <c r="AF301" s="26"/>
      <c r="AG301" s="26"/>
      <c r="AH301" s="27"/>
      <c r="AI301" s="26"/>
      <c r="AJ301" s="27"/>
      <c r="AK301" s="26"/>
      <c r="AL301" s="26"/>
      <c r="AM301" s="26"/>
    </row>
  </sheetData>
  <autoFilter ref="A1:AM301" xr:uid="{00000000-0009-0000-0000-000002000000}"/>
  <conditionalFormatting sqref="R2:R301">
    <cfRule type="expression" dxfId="6" priority="1">
      <formula>AND(R2&lt;&gt;"",R2&lt;TODAY())</formula>
    </cfRule>
  </conditionalFormatting>
  <conditionalFormatting sqref="T2:T301">
    <cfRule type="expression" dxfId="5" priority="2">
      <formula>AND(T2&lt;&gt;"",T2&lt;=TODAY()+30)</formula>
    </cfRule>
  </conditionalFormatting>
  <conditionalFormatting sqref="AE2:AE301">
    <cfRule type="expression" dxfId="4" priority="3">
      <formula>AND(AE2&lt;&gt;"",AE2&lt;=TODAY()+30)</formula>
    </cfRule>
  </conditionalFormatting>
  <conditionalFormatting sqref="AK2:AK301">
    <cfRule type="expression" dxfId="3" priority="4">
      <formula>AK2="Not Found"</formula>
    </cfRule>
    <cfRule type="expression" dxfId="2" priority="5">
      <formula>AK2="Verified"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200-000000000000}">
          <x14:formula1>
            <xm:f>Lists!$A$2:$A$16</xm:f>
          </x14:formula1>
          <xm:sqref>B2:B301</xm:sqref>
        </x14:dataValidation>
        <x14:dataValidation type="list" allowBlank="1" xr:uid="{00000000-0002-0000-0200-000001000000}">
          <x14:formula1>
            <xm:f>Lists!$B$2:$B$10</xm:f>
          </x14:formula1>
          <xm:sqref>C2:C301</xm:sqref>
        </x14:dataValidation>
        <x14:dataValidation type="list" allowBlank="1" xr:uid="{00000000-0002-0000-0200-000002000000}">
          <x14:formula1>
            <xm:f>Lists!$H$2:$H$10</xm:f>
          </x14:formula1>
          <xm:sqref>I2:I301</xm:sqref>
        </x14:dataValidation>
        <x14:dataValidation type="list" allowBlank="1" xr:uid="{00000000-0002-0000-0200-000003000000}">
          <x14:formula1>
            <xm:f>Lists!$C$2:$C$9</xm:f>
          </x14:formula1>
          <xm:sqref>L2:L301</xm:sqref>
        </x14:dataValidation>
        <x14:dataValidation type="list" allowBlank="1" xr:uid="{00000000-0002-0000-0200-000004000000}">
          <x14:formula1>
            <xm:f>Lists!$D$2:$D$6</xm:f>
          </x14:formula1>
          <xm:sqref>M2:M301</xm:sqref>
        </x14:dataValidation>
        <x14:dataValidation type="list" allowBlank="1" xr:uid="{00000000-0002-0000-0200-000005000000}">
          <x14:formula1>
            <xm:f>Lists!$E$2:$E$7</xm:f>
          </x14:formula1>
          <xm:sqref>U2:U301</xm:sqref>
        </x14:dataValidation>
        <x14:dataValidation type="list" allowBlank="1" xr:uid="{00000000-0002-0000-0200-000006000000}">
          <x14:formula1>
            <xm:f>Lists!$J$2:$J$6</xm:f>
          </x14:formula1>
          <xm:sqref>Z2:Z301</xm:sqref>
        </x14:dataValidation>
        <x14:dataValidation type="list" allowBlank="1" xr:uid="{00000000-0002-0000-0200-000007000000}">
          <x14:formula1>
            <xm:f>Lists!$G$2:$G$6</xm:f>
          </x14:formula1>
          <xm:sqref>AD2:AD301</xm:sqref>
        </x14:dataValidation>
        <x14:dataValidation type="list" allowBlank="1" xr:uid="{00000000-0002-0000-0200-000008000000}">
          <x14:formula1>
            <xm:f>Lists!$F$2:$F$5</xm:f>
          </x14:formula1>
          <xm:sqref>AK2:AK301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topLeftCell="C1" workbookViewId="0">
      <selection activeCell="G7" sqref="G7"/>
    </sheetView>
  </sheetViews>
  <sheetFormatPr defaultColWidth="8.88671875" defaultRowHeight="13.8" x14ac:dyDescent="0.3"/>
  <cols>
    <col min="1" max="1" width="8" style="2" customWidth="1"/>
    <col min="2" max="2" width="25" style="2" customWidth="1"/>
    <col min="3" max="3" width="35" style="2" customWidth="1"/>
    <col min="4" max="4" width="20" style="2" bestFit="1" customWidth="1"/>
    <col min="5" max="7" width="12" style="2" customWidth="1"/>
    <col min="8" max="8" width="25" style="2" customWidth="1"/>
    <col min="9" max="9" width="20" style="2" customWidth="1"/>
    <col min="10" max="10" width="8.88671875" style="2" customWidth="1"/>
    <col min="11" max="16384" width="8.88671875" style="2"/>
  </cols>
  <sheetData>
    <row r="1" spans="1:15" ht="48" customHeight="1" x14ac:dyDescent="0.3">
      <c r="A1" s="35">
        <v>1</v>
      </c>
      <c r="B1" s="35" t="s">
        <v>730</v>
      </c>
      <c r="C1" s="35" t="s">
        <v>731</v>
      </c>
      <c r="D1" s="35" t="s">
        <v>732</v>
      </c>
      <c r="E1" s="35" t="s">
        <v>733</v>
      </c>
      <c r="F1" s="35" t="s">
        <v>734</v>
      </c>
      <c r="G1" s="35" t="s">
        <v>735</v>
      </c>
      <c r="H1" s="35" t="s">
        <v>736</v>
      </c>
      <c r="I1" s="35" t="s">
        <v>737</v>
      </c>
      <c r="J1" s="35"/>
      <c r="K1" s="35"/>
      <c r="L1" s="35"/>
      <c r="M1" s="35"/>
      <c r="N1" s="35"/>
      <c r="O1" s="35"/>
    </row>
    <row r="2" spans="1:15" x14ac:dyDescent="0.3">
      <c r="A2" s="36">
        <v>2</v>
      </c>
      <c r="B2" s="36" t="s">
        <v>738</v>
      </c>
      <c r="C2" s="36" t="s">
        <v>739</v>
      </c>
      <c r="D2" s="36" t="s">
        <v>740</v>
      </c>
      <c r="E2" s="36" t="s">
        <v>741</v>
      </c>
      <c r="F2" s="37"/>
      <c r="G2" s="36"/>
      <c r="H2" s="36"/>
      <c r="I2" s="36">
        <v>2022</v>
      </c>
      <c r="J2" s="36"/>
      <c r="K2" s="36"/>
      <c r="L2" s="36"/>
      <c r="M2" s="36"/>
      <c r="N2" s="36"/>
      <c r="O2" s="36"/>
    </row>
    <row r="3" spans="1:15" x14ac:dyDescent="0.3">
      <c r="A3" s="36">
        <v>3</v>
      </c>
      <c r="B3" s="36" t="s">
        <v>742</v>
      </c>
      <c r="C3" s="36" t="s">
        <v>743</v>
      </c>
      <c r="D3" s="36" t="s">
        <v>115</v>
      </c>
      <c r="E3" s="36" t="s">
        <v>741</v>
      </c>
      <c r="F3" s="36"/>
      <c r="G3" s="36"/>
      <c r="H3" s="36"/>
      <c r="I3" s="36">
        <v>2018</v>
      </c>
      <c r="J3" s="36"/>
      <c r="K3" s="36"/>
      <c r="L3" s="36"/>
      <c r="M3" s="36"/>
      <c r="N3" s="36"/>
      <c r="O3" s="36"/>
    </row>
    <row r="4" spans="1:15" x14ac:dyDescent="0.3">
      <c r="A4" s="36">
        <v>4</v>
      </c>
      <c r="B4" s="36" t="s">
        <v>744</v>
      </c>
      <c r="C4" s="36" t="s">
        <v>743</v>
      </c>
      <c r="D4" s="36" t="s">
        <v>133</v>
      </c>
      <c r="E4" s="36" t="s">
        <v>741</v>
      </c>
      <c r="F4" s="36"/>
      <c r="G4" s="36"/>
      <c r="H4" s="36"/>
      <c r="I4" s="36">
        <v>2022</v>
      </c>
      <c r="J4" s="36"/>
      <c r="K4" s="36"/>
      <c r="L4" s="36"/>
      <c r="M4" s="36"/>
      <c r="N4" s="36"/>
      <c r="O4" s="36"/>
    </row>
    <row r="5" spans="1:15" x14ac:dyDescent="0.3">
      <c r="A5" s="36">
        <v>5</v>
      </c>
      <c r="B5" s="36" t="s">
        <v>745</v>
      </c>
      <c r="C5" s="36" t="s">
        <v>746</v>
      </c>
      <c r="D5" s="36" t="s">
        <v>151</v>
      </c>
      <c r="E5" s="36" t="s">
        <v>741</v>
      </c>
      <c r="F5" s="36"/>
      <c r="G5" s="36"/>
      <c r="H5" s="36" t="s">
        <v>747</v>
      </c>
      <c r="I5" s="38">
        <v>44743</v>
      </c>
      <c r="J5" s="36"/>
      <c r="K5" s="36"/>
      <c r="L5" s="36"/>
      <c r="M5" s="36"/>
      <c r="N5" s="36"/>
      <c r="O5" s="36"/>
    </row>
    <row r="6" spans="1:15" x14ac:dyDescent="0.3">
      <c r="A6" s="36">
        <v>6</v>
      </c>
      <c r="B6" s="36" t="s">
        <v>748</v>
      </c>
      <c r="C6" s="36" t="s">
        <v>82</v>
      </c>
      <c r="D6" s="39" t="s">
        <v>172</v>
      </c>
      <c r="E6" s="63" t="s">
        <v>3046</v>
      </c>
      <c r="F6" s="36"/>
      <c r="G6" s="36"/>
      <c r="H6" s="36" t="s">
        <v>749</v>
      </c>
      <c r="I6" s="36" t="s">
        <v>750</v>
      </c>
      <c r="J6" s="36"/>
      <c r="K6" s="36"/>
      <c r="L6" s="36"/>
      <c r="M6" s="36"/>
      <c r="N6" s="36"/>
      <c r="O6" s="36"/>
    </row>
    <row r="7" spans="1:15" x14ac:dyDescent="0.3">
      <c r="A7" s="36">
        <v>7</v>
      </c>
      <c r="B7" s="36" t="s">
        <v>751</v>
      </c>
      <c r="C7" s="36" t="s">
        <v>752</v>
      </c>
      <c r="D7" s="36" t="s">
        <v>753</v>
      </c>
      <c r="E7" s="36" t="s">
        <v>741</v>
      </c>
      <c r="F7" s="36"/>
      <c r="G7" s="36"/>
      <c r="H7" s="36" t="s">
        <v>754</v>
      </c>
      <c r="I7" s="38">
        <v>44713</v>
      </c>
      <c r="J7" s="36"/>
      <c r="K7" s="36"/>
      <c r="L7" s="36"/>
      <c r="M7" s="36"/>
      <c r="N7" s="36"/>
      <c r="O7" s="36"/>
    </row>
    <row r="8" spans="1:15" x14ac:dyDescent="0.3">
      <c r="A8" s="36">
        <v>8</v>
      </c>
      <c r="B8" s="36" t="s">
        <v>755</v>
      </c>
      <c r="C8" s="36" t="s">
        <v>756</v>
      </c>
      <c r="D8" s="39" t="s">
        <v>206</v>
      </c>
      <c r="E8" s="36" t="s">
        <v>741</v>
      </c>
      <c r="F8" s="36"/>
      <c r="G8" s="36"/>
      <c r="H8" s="36" t="s">
        <v>757</v>
      </c>
      <c r="I8" s="38">
        <v>44986</v>
      </c>
      <c r="J8" s="36"/>
      <c r="K8" s="36"/>
      <c r="L8" s="36"/>
      <c r="M8" s="36"/>
      <c r="N8" s="36"/>
      <c r="O8" s="36"/>
    </row>
    <row r="9" spans="1:15" x14ac:dyDescent="0.3">
      <c r="A9" s="36">
        <v>9</v>
      </c>
      <c r="B9" s="36" t="s">
        <v>758</v>
      </c>
      <c r="C9" s="36" t="s">
        <v>759</v>
      </c>
      <c r="D9" s="39" t="s">
        <v>223</v>
      </c>
      <c r="E9" s="36" t="s">
        <v>741</v>
      </c>
      <c r="F9" s="36"/>
      <c r="G9" s="36"/>
      <c r="H9" s="36" t="s">
        <v>760</v>
      </c>
      <c r="I9" s="38">
        <v>44743</v>
      </c>
      <c r="J9" s="36"/>
      <c r="K9" s="36"/>
      <c r="L9" s="36"/>
      <c r="M9" s="36"/>
      <c r="N9" s="36"/>
      <c r="O9" s="36"/>
    </row>
    <row r="10" spans="1:15" x14ac:dyDescent="0.3">
      <c r="A10" s="36">
        <v>10</v>
      </c>
      <c r="B10" s="36" t="s">
        <v>761</v>
      </c>
      <c r="C10" s="36" t="s">
        <v>759</v>
      </c>
      <c r="D10" s="39" t="s">
        <v>238</v>
      </c>
      <c r="E10" s="36" t="s">
        <v>741</v>
      </c>
      <c r="F10" s="36"/>
      <c r="G10" s="36"/>
      <c r="H10" s="36" t="s">
        <v>762</v>
      </c>
      <c r="I10" s="38">
        <v>44805</v>
      </c>
      <c r="J10" s="36"/>
      <c r="K10" s="36"/>
      <c r="L10" s="36"/>
      <c r="M10" s="36"/>
      <c r="N10" s="36"/>
      <c r="O10" s="36"/>
    </row>
    <row r="11" spans="1:15" x14ac:dyDescent="0.3">
      <c r="A11" s="36">
        <v>11</v>
      </c>
      <c r="B11" s="36" t="s">
        <v>763</v>
      </c>
      <c r="C11" s="36" t="s">
        <v>764</v>
      </c>
      <c r="D11" s="39" t="s">
        <v>252</v>
      </c>
      <c r="E11" s="36" t="s">
        <v>741</v>
      </c>
      <c r="F11" s="36"/>
      <c r="G11" s="36"/>
      <c r="H11" s="36" t="s">
        <v>765</v>
      </c>
      <c r="I11" s="38">
        <v>2023</v>
      </c>
      <c r="J11" s="36"/>
      <c r="K11" s="36"/>
      <c r="L11" s="36"/>
      <c r="M11" s="36"/>
      <c r="N11" s="36"/>
      <c r="O11" s="36"/>
    </row>
    <row r="12" spans="1:15" x14ac:dyDescent="0.3">
      <c r="A12" s="36">
        <v>12</v>
      </c>
      <c r="B12" s="36" t="s">
        <v>766</v>
      </c>
      <c r="C12" s="36" t="s">
        <v>756</v>
      </c>
      <c r="D12" s="39" t="s">
        <v>265</v>
      </c>
      <c r="E12" s="36" t="s">
        <v>741</v>
      </c>
      <c r="F12" s="36"/>
      <c r="G12" s="36"/>
      <c r="H12" s="36" t="s">
        <v>767</v>
      </c>
      <c r="I12" s="36" t="s">
        <v>768</v>
      </c>
      <c r="J12" s="36"/>
      <c r="K12" s="36"/>
      <c r="L12" s="36"/>
      <c r="M12" s="36"/>
      <c r="N12" s="36"/>
      <c r="O12" s="36"/>
    </row>
    <row r="13" spans="1:15" x14ac:dyDescent="0.3">
      <c r="A13" s="36">
        <v>13</v>
      </c>
      <c r="B13" s="36" t="s">
        <v>769</v>
      </c>
      <c r="C13" s="36" t="s">
        <v>770</v>
      </c>
      <c r="D13" s="39" t="s">
        <v>280</v>
      </c>
      <c r="E13" s="36" t="s">
        <v>771</v>
      </c>
      <c r="F13" s="36"/>
      <c r="G13" s="36"/>
      <c r="H13" s="36" t="s">
        <v>772</v>
      </c>
      <c r="I13" s="38">
        <v>46259</v>
      </c>
      <c r="J13" s="36"/>
      <c r="K13" s="36"/>
      <c r="L13" s="36"/>
      <c r="M13" s="36"/>
      <c r="N13" s="36"/>
      <c r="O13" s="36"/>
    </row>
    <row r="14" spans="1:15" x14ac:dyDescent="0.3">
      <c r="A14" s="36">
        <v>14</v>
      </c>
      <c r="B14" s="36" t="s">
        <v>773</v>
      </c>
      <c r="C14" s="36" t="s">
        <v>774</v>
      </c>
      <c r="D14" s="39" t="s">
        <v>295</v>
      </c>
      <c r="E14" s="36" t="s">
        <v>741</v>
      </c>
      <c r="F14" s="36"/>
      <c r="G14" s="36"/>
      <c r="H14" s="36" t="s">
        <v>775</v>
      </c>
      <c r="I14" s="38">
        <v>46381</v>
      </c>
      <c r="J14" s="36"/>
      <c r="K14" s="36"/>
      <c r="L14" s="36"/>
      <c r="M14" s="36"/>
      <c r="N14" s="36"/>
      <c r="O14" s="36"/>
    </row>
    <row r="15" spans="1:15" x14ac:dyDescent="0.3">
      <c r="A15" s="36">
        <v>15</v>
      </c>
      <c r="B15" s="36" t="s">
        <v>776</v>
      </c>
      <c r="C15" s="36" t="s">
        <v>777</v>
      </c>
      <c r="D15" s="39" t="s">
        <v>312</v>
      </c>
      <c r="E15" s="36" t="s">
        <v>741</v>
      </c>
      <c r="F15" s="36"/>
      <c r="G15" s="36"/>
      <c r="H15" s="36" t="s">
        <v>775</v>
      </c>
      <c r="I15" s="38">
        <v>2025</v>
      </c>
      <c r="J15" s="36"/>
      <c r="K15" s="36"/>
      <c r="L15" s="36"/>
      <c r="M15" s="36"/>
      <c r="N15" s="36"/>
      <c r="O15" s="36"/>
    </row>
    <row r="16" spans="1:15" x14ac:dyDescent="0.3">
      <c r="A16" s="36">
        <v>16</v>
      </c>
      <c r="B16" s="36" t="s">
        <v>778</v>
      </c>
      <c r="C16" s="36" t="s">
        <v>779</v>
      </c>
      <c r="D16" s="36" t="s">
        <v>326</v>
      </c>
      <c r="E16" s="36" t="s">
        <v>741</v>
      </c>
      <c r="F16" s="36"/>
      <c r="G16" s="36"/>
      <c r="H16" s="36" t="s">
        <v>780</v>
      </c>
      <c r="I16" s="36">
        <v>2024</v>
      </c>
      <c r="J16" s="36"/>
      <c r="K16" s="36"/>
      <c r="L16" s="36"/>
      <c r="M16" s="36"/>
      <c r="N16" s="36"/>
      <c r="O16" s="36"/>
    </row>
    <row r="17" spans="1:15" x14ac:dyDescent="0.3">
      <c r="A17" s="36">
        <v>17</v>
      </c>
      <c r="B17" s="36" t="s">
        <v>781</v>
      </c>
      <c r="C17" s="36" t="s">
        <v>782</v>
      </c>
      <c r="D17" s="36" t="s">
        <v>340</v>
      </c>
      <c r="E17" s="36" t="s">
        <v>741</v>
      </c>
      <c r="F17" s="36"/>
      <c r="G17" s="36"/>
      <c r="H17" s="36" t="s">
        <v>765</v>
      </c>
      <c r="I17" s="36">
        <v>2023</v>
      </c>
      <c r="J17" s="36"/>
      <c r="K17" s="36"/>
      <c r="L17" s="36"/>
      <c r="M17" s="36"/>
      <c r="N17" s="36"/>
      <c r="O17" s="36"/>
    </row>
    <row r="18" spans="1:15" x14ac:dyDescent="0.3">
      <c r="A18" s="36">
        <v>18</v>
      </c>
      <c r="B18" s="36" t="s">
        <v>783</v>
      </c>
      <c r="C18" s="36" t="s">
        <v>784</v>
      </c>
      <c r="D18" s="36" t="s">
        <v>785</v>
      </c>
      <c r="E18" s="36" t="s">
        <v>786</v>
      </c>
      <c r="F18" s="36"/>
      <c r="G18" s="36"/>
      <c r="H18" s="36" t="s">
        <v>787</v>
      </c>
      <c r="I18" s="36">
        <v>2025</v>
      </c>
      <c r="J18" s="36"/>
      <c r="K18" s="36"/>
      <c r="L18" s="36"/>
      <c r="M18" s="36"/>
      <c r="N18" s="36"/>
      <c r="O18" s="36"/>
    </row>
    <row r="19" spans="1:15" x14ac:dyDescent="0.3">
      <c r="A19" s="36">
        <v>19</v>
      </c>
      <c r="B19" s="36" t="s">
        <v>788</v>
      </c>
      <c r="C19" s="36" t="s">
        <v>789</v>
      </c>
      <c r="D19" s="36"/>
      <c r="E19" s="36" t="s">
        <v>771</v>
      </c>
      <c r="F19" s="36"/>
      <c r="G19" s="36"/>
      <c r="H19" s="36" t="s">
        <v>787</v>
      </c>
      <c r="I19" s="36">
        <v>2024</v>
      </c>
      <c r="J19" s="36"/>
      <c r="K19" s="36"/>
      <c r="L19" s="36"/>
      <c r="M19" s="36"/>
      <c r="N19" s="36"/>
      <c r="O19" s="36"/>
    </row>
    <row r="20" spans="1:15" x14ac:dyDescent="0.3">
      <c r="A20" s="36">
        <v>20</v>
      </c>
      <c r="B20" s="36" t="s">
        <v>790</v>
      </c>
      <c r="C20" s="36" t="s">
        <v>789</v>
      </c>
      <c r="D20" s="36"/>
      <c r="E20" s="36" t="s">
        <v>771</v>
      </c>
      <c r="F20" s="36"/>
      <c r="G20" s="36"/>
      <c r="H20" s="36" t="s">
        <v>787</v>
      </c>
      <c r="I20" s="36">
        <v>2025</v>
      </c>
      <c r="J20" s="36"/>
      <c r="K20" s="36"/>
      <c r="L20" s="36"/>
      <c r="M20" s="36"/>
      <c r="N20" s="36"/>
      <c r="O20" s="36"/>
    </row>
    <row r="21" spans="1:15" x14ac:dyDescent="0.3">
      <c r="A21" s="36">
        <v>21</v>
      </c>
      <c r="B21" s="36" t="s">
        <v>791</v>
      </c>
      <c r="C21" s="36" t="s">
        <v>789</v>
      </c>
      <c r="D21" s="36"/>
      <c r="E21" s="36" t="s">
        <v>771</v>
      </c>
      <c r="F21" s="36"/>
      <c r="G21" s="36"/>
      <c r="H21" s="36" t="s">
        <v>787</v>
      </c>
      <c r="I21" s="36">
        <v>2025</v>
      </c>
      <c r="J21" s="36"/>
      <c r="K21" s="36"/>
      <c r="L21" s="36"/>
      <c r="M21" s="36"/>
      <c r="N21" s="36"/>
      <c r="O21" s="36"/>
    </row>
    <row r="22" spans="1:15" x14ac:dyDescent="0.3">
      <c r="A22" s="36">
        <v>22</v>
      </c>
      <c r="B22" s="36" t="s">
        <v>792</v>
      </c>
      <c r="C22" s="36" t="s">
        <v>789</v>
      </c>
      <c r="D22" s="36"/>
      <c r="E22" s="36" t="s">
        <v>771</v>
      </c>
      <c r="F22" s="36"/>
      <c r="G22" s="36"/>
      <c r="H22" s="36" t="s">
        <v>787</v>
      </c>
      <c r="I22" s="36">
        <v>2025</v>
      </c>
      <c r="J22" s="36"/>
      <c r="K22" s="36"/>
      <c r="L22" s="36"/>
      <c r="M22" s="36"/>
      <c r="N22" s="36"/>
      <c r="O22" s="36"/>
    </row>
    <row r="23" spans="1:15" x14ac:dyDescent="0.3">
      <c r="A23" s="36">
        <v>23</v>
      </c>
      <c r="B23" s="36" t="s">
        <v>793</v>
      </c>
      <c r="C23" s="36" t="s">
        <v>789</v>
      </c>
      <c r="D23" s="36"/>
      <c r="E23" s="36" t="s">
        <v>771</v>
      </c>
      <c r="F23" s="36"/>
      <c r="G23" s="36"/>
      <c r="H23" s="36" t="s">
        <v>787</v>
      </c>
      <c r="I23" s="36">
        <v>2025</v>
      </c>
      <c r="J23" s="36"/>
      <c r="K23" s="36"/>
      <c r="L23" s="36"/>
      <c r="M23" s="36"/>
      <c r="N23" s="36"/>
      <c r="O23" s="36"/>
    </row>
    <row r="24" spans="1:15" x14ac:dyDescent="0.3">
      <c r="A24" s="36">
        <v>24</v>
      </c>
      <c r="B24" s="36" t="s">
        <v>794</v>
      </c>
      <c r="C24" s="36" t="s">
        <v>789</v>
      </c>
      <c r="D24" s="36" t="s">
        <v>795</v>
      </c>
      <c r="E24" s="36" t="s">
        <v>741</v>
      </c>
      <c r="F24" s="36"/>
      <c r="G24" s="36"/>
      <c r="H24" s="36" t="s">
        <v>787</v>
      </c>
      <c r="I24" s="36">
        <v>2026</v>
      </c>
      <c r="J24" s="36"/>
      <c r="K24" s="36"/>
      <c r="L24" s="36"/>
      <c r="M24" s="36"/>
      <c r="N24" s="36"/>
      <c r="O24" s="36"/>
    </row>
    <row r="25" spans="1:15" x14ac:dyDescent="0.3">
      <c r="A25" s="36">
        <v>25</v>
      </c>
      <c r="B25" s="36" t="s">
        <v>796</v>
      </c>
      <c r="C25" s="36" t="s">
        <v>797</v>
      </c>
      <c r="D25" s="36" t="s">
        <v>382</v>
      </c>
      <c r="E25" s="36" t="s">
        <v>741</v>
      </c>
      <c r="F25" s="36"/>
      <c r="G25" s="36"/>
      <c r="H25" s="36" t="s">
        <v>765</v>
      </c>
      <c r="I25" s="36"/>
      <c r="J25" s="36"/>
      <c r="K25" s="36"/>
      <c r="L25" s="36"/>
      <c r="M25" s="36"/>
      <c r="N25" s="36"/>
      <c r="O25" s="36"/>
    </row>
  </sheetData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topLeftCell="A11" workbookViewId="0">
      <selection activeCell="C26" sqref="C26"/>
    </sheetView>
  </sheetViews>
  <sheetFormatPr defaultColWidth="8.88671875" defaultRowHeight="12.6" x14ac:dyDescent="0.2"/>
  <cols>
    <col min="1" max="1" width="8" style="1" bestFit="1" customWidth="1"/>
    <col min="2" max="2" width="25" style="1" bestFit="1" customWidth="1"/>
    <col min="3" max="3" width="40" style="1" bestFit="1" customWidth="1"/>
    <col min="4" max="4" width="15" style="4" bestFit="1" customWidth="1"/>
    <col min="5" max="5" width="15" style="55" bestFit="1" customWidth="1"/>
    <col min="6" max="6" width="20.21875" style="3" customWidth="1"/>
    <col min="7" max="12" width="8.88671875" style="1" customWidth="1"/>
    <col min="13" max="13" width="39" style="1" bestFit="1" customWidth="1"/>
    <col min="14" max="14" width="8.88671875" style="1" customWidth="1"/>
    <col min="15" max="16384" width="8.88671875" style="1"/>
  </cols>
  <sheetData>
    <row r="1" spans="1:6" ht="18" x14ac:dyDescent="0.3">
      <c r="A1" s="50" t="s">
        <v>798</v>
      </c>
      <c r="B1" s="51"/>
      <c r="C1" s="51"/>
      <c r="D1" s="51"/>
      <c r="E1" s="51"/>
      <c r="F1" s="51"/>
    </row>
    <row r="2" spans="1:6" ht="15.6" x14ac:dyDescent="0.3">
      <c r="A2" s="54" t="s">
        <v>799</v>
      </c>
      <c r="B2" s="51"/>
      <c r="C2" s="51"/>
      <c r="D2" s="51"/>
      <c r="E2" s="51"/>
      <c r="F2" s="51"/>
    </row>
    <row r="3" spans="1:6" ht="14.4" x14ac:dyDescent="0.2">
      <c r="A3" s="35" t="s">
        <v>800</v>
      </c>
      <c r="B3" s="35" t="s">
        <v>801</v>
      </c>
      <c r="C3" s="35" t="s">
        <v>802</v>
      </c>
      <c r="D3" s="40" t="s">
        <v>803</v>
      </c>
      <c r="E3" s="56" t="s">
        <v>804</v>
      </c>
      <c r="F3" s="57"/>
    </row>
    <row r="4" spans="1:6" ht="13.8" x14ac:dyDescent="0.2">
      <c r="A4" s="36">
        <v>1</v>
      </c>
      <c r="B4" s="36" t="s">
        <v>730</v>
      </c>
      <c r="C4" s="36" t="s">
        <v>805</v>
      </c>
      <c r="D4" s="41">
        <v>800000</v>
      </c>
      <c r="E4" s="52">
        <v>800000</v>
      </c>
      <c r="F4" s="53"/>
    </row>
    <row r="5" spans="1:6" ht="13.8" x14ac:dyDescent="0.2">
      <c r="A5" s="36">
        <v>2</v>
      </c>
      <c r="B5" s="36" t="s">
        <v>742</v>
      </c>
      <c r="C5" s="36" t="s">
        <v>806</v>
      </c>
      <c r="D5" s="41">
        <v>900000</v>
      </c>
      <c r="E5" s="52">
        <v>900000</v>
      </c>
      <c r="F5" s="53"/>
    </row>
    <row r="6" spans="1:6" ht="13.8" x14ac:dyDescent="0.2">
      <c r="A6" s="36">
        <v>3</v>
      </c>
      <c r="B6" s="36" t="s">
        <v>744</v>
      </c>
      <c r="C6" s="36" t="s">
        <v>807</v>
      </c>
      <c r="D6" s="41">
        <v>700000</v>
      </c>
      <c r="E6" s="52">
        <v>700000</v>
      </c>
      <c r="F6" s="53"/>
    </row>
    <row r="7" spans="1:6" ht="13.8" x14ac:dyDescent="0.2">
      <c r="A7" s="36">
        <v>4</v>
      </c>
      <c r="B7" s="36" t="s">
        <v>808</v>
      </c>
      <c r="C7" s="36" t="s">
        <v>809</v>
      </c>
      <c r="D7" s="41">
        <v>350000</v>
      </c>
      <c r="E7" s="52">
        <v>350000</v>
      </c>
      <c r="F7" s="53"/>
    </row>
    <row r="8" spans="1:6" ht="13.8" x14ac:dyDescent="0.2">
      <c r="A8" s="36">
        <v>5</v>
      </c>
      <c r="B8" s="36" t="s">
        <v>738</v>
      </c>
      <c r="C8" s="36" t="s">
        <v>810</v>
      </c>
      <c r="D8" s="41">
        <v>650000</v>
      </c>
      <c r="E8" s="52">
        <v>650000</v>
      </c>
      <c r="F8" s="53"/>
    </row>
    <row r="9" spans="1:6" ht="13.8" x14ac:dyDescent="0.2">
      <c r="A9" s="36">
        <v>6</v>
      </c>
      <c r="B9" s="36" t="s">
        <v>748</v>
      </c>
      <c r="C9" s="36" t="s">
        <v>811</v>
      </c>
      <c r="D9" s="41">
        <v>650000</v>
      </c>
      <c r="E9" s="52">
        <v>650000</v>
      </c>
      <c r="F9" s="53"/>
    </row>
    <row r="10" spans="1:6" ht="13.8" x14ac:dyDescent="0.2">
      <c r="A10" s="36">
        <v>7</v>
      </c>
      <c r="B10" s="36" t="s">
        <v>751</v>
      </c>
      <c r="C10" s="36" t="s">
        <v>812</v>
      </c>
      <c r="D10" s="41">
        <v>600000</v>
      </c>
      <c r="E10" s="52">
        <v>600000</v>
      </c>
      <c r="F10" s="53"/>
    </row>
    <row r="11" spans="1:6" ht="13.8" x14ac:dyDescent="0.2">
      <c r="A11" s="36">
        <v>8</v>
      </c>
      <c r="B11" s="36" t="s">
        <v>755</v>
      </c>
      <c r="C11" s="36" t="s">
        <v>813</v>
      </c>
      <c r="D11" s="41">
        <v>650000</v>
      </c>
      <c r="E11" s="52">
        <v>650000</v>
      </c>
      <c r="F11" s="53"/>
    </row>
    <row r="12" spans="1:6" ht="13.8" x14ac:dyDescent="0.2">
      <c r="A12" s="36">
        <v>9</v>
      </c>
      <c r="B12" s="36" t="s">
        <v>758</v>
      </c>
      <c r="C12" s="36" t="s">
        <v>814</v>
      </c>
      <c r="D12" s="41">
        <v>650000</v>
      </c>
      <c r="E12" s="52">
        <v>650000</v>
      </c>
      <c r="F12" s="53"/>
    </row>
    <row r="13" spans="1:6" ht="13.8" x14ac:dyDescent="0.2">
      <c r="A13" s="36">
        <v>10</v>
      </c>
      <c r="B13" s="36" t="s">
        <v>815</v>
      </c>
      <c r="C13" s="36" t="s">
        <v>816</v>
      </c>
      <c r="D13" s="41">
        <v>600000</v>
      </c>
      <c r="E13" s="52">
        <v>600000</v>
      </c>
      <c r="F13" s="53"/>
    </row>
    <row r="14" spans="1:6" ht="13.8" x14ac:dyDescent="0.2">
      <c r="A14" s="36">
        <v>11</v>
      </c>
      <c r="B14" s="63" t="s">
        <v>3044</v>
      </c>
      <c r="C14" s="36" t="s">
        <v>817</v>
      </c>
      <c r="D14" s="41">
        <v>600000</v>
      </c>
      <c r="E14" s="52">
        <v>600000</v>
      </c>
      <c r="F14" s="53"/>
    </row>
    <row r="15" spans="1:6" ht="13.8" x14ac:dyDescent="0.2">
      <c r="A15" s="36">
        <v>12</v>
      </c>
      <c r="B15" s="36" t="s">
        <v>818</v>
      </c>
      <c r="C15" s="36" t="s">
        <v>819</v>
      </c>
      <c r="D15" s="41">
        <v>650000</v>
      </c>
      <c r="E15" s="52">
        <v>650000</v>
      </c>
      <c r="F15" s="53"/>
    </row>
    <row r="16" spans="1:6" ht="13.8" x14ac:dyDescent="0.2">
      <c r="A16" s="36">
        <v>13</v>
      </c>
      <c r="B16" s="36" t="s">
        <v>820</v>
      </c>
      <c r="C16" s="36" t="s">
        <v>821</v>
      </c>
      <c r="D16" s="41">
        <v>550000</v>
      </c>
      <c r="E16" s="52">
        <v>550000</v>
      </c>
      <c r="F16" s="53"/>
    </row>
    <row r="17" spans="1:6" ht="13.8" x14ac:dyDescent="0.2">
      <c r="A17" s="36">
        <v>14</v>
      </c>
      <c r="B17" s="36" t="s">
        <v>773</v>
      </c>
      <c r="C17" s="36" t="s">
        <v>822</v>
      </c>
      <c r="D17" s="41">
        <v>550000</v>
      </c>
      <c r="E17" s="52">
        <v>550000</v>
      </c>
      <c r="F17" s="53"/>
    </row>
    <row r="18" spans="1:6" ht="13.8" x14ac:dyDescent="0.2">
      <c r="A18" s="36">
        <v>15</v>
      </c>
      <c r="B18" s="36" t="s">
        <v>823</v>
      </c>
      <c r="C18" s="36" t="s">
        <v>824</v>
      </c>
      <c r="D18" s="41">
        <v>800000</v>
      </c>
      <c r="E18" s="52">
        <v>800000</v>
      </c>
      <c r="F18" s="53"/>
    </row>
    <row r="19" spans="1:6" ht="13.8" x14ac:dyDescent="0.2">
      <c r="A19" s="36">
        <v>16</v>
      </c>
      <c r="B19" s="36" t="s">
        <v>778</v>
      </c>
      <c r="C19" s="36" t="s">
        <v>825</v>
      </c>
      <c r="D19" s="41">
        <v>1650000</v>
      </c>
      <c r="E19" s="52">
        <v>1650000</v>
      </c>
      <c r="F19" s="53"/>
    </row>
    <row r="20" spans="1:6" ht="13.8" x14ac:dyDescent="0.2">
      <c r="A20" s="36">
        <v>17</v>
      </c>
      <c r="B20" s="36" t="s">
        <v>781</v>
      </c>
      <c r="C20" s="36" t="s">
        <v>826</v>
      </c>
      <c r="D20" s="41">
        <v>350000</v>
      </c>
      <c r="E20" s="52">
        <v>350000</v>
      </c>
      <c r="F20" s="53"/>
    </row>
    <row r="21" spans="1:6" ht="13.8" x14ac:dyDescent="0.2">
      <c r="A21" s="36">
        <v>18</v>
      </c>
      <c r="B21" s="36" t="s">
        <v>827</v>
      </c>
      <c r="C21" s="36" t="s">
        <v>828</v>
      </c>
      <c r="D21" s="41">
        <v>2950000</v>
      </c>
      <c r="E21" s="52">
        <v>2950000</v>
      </c>
      <c r="F21" s="53"/>
    </row>
    <row r="22" spans="1:6" ht="13.8" x14ac:dyDescent="0.2">
      <c r="A22" s="36">
        <v>19</v>
      </c>
      <c r="B22" s="36" t="s">
        <v>829</v>
      </c>
      <c r="C22" s="36" t="s">
        <v>828</v>
      </c>
      <c r="D22" s="41">
        <v>2451000</v>
      </c>
      <c r="E22" s="52">
        <v>2451000</v>
      </c>
      <c r="F22" s="53"/>
    </row>
    <row r="23" spans="1:6" ht="13.8" x14ac:dyDescent="0.2">
      <c r="A23" s="36">
        <v>20</v>
      </c>
      <c r="B23" s="36" t="s">
        <v>830</v>
      </c>
      <c r="C23" s="36" t="s">
        <v>828</v>
      </c>
      <c r="D23" s="41">
        <v>2451000</v>
      </c>
      <c r="E23" s="52">
        <v>2451000</v>
      </c>
      <c r="F23" s="53"/>
    </row>
    <row r="24" spans="1:6" ht="13.5" customHeight="1" x14ac:dyDescent="0.2">
      <c r="A24" s="36">
        <v>21</v>
      </c>
      <c r="B24" s="36" t="s">
        <v>831</v>
      </c>
      <c r="C24" s="36" t="s">
        <v>828</v>
      </c>
      <c r="D24" s="41">
        <v>1778000</v>
      </c>
      <c r="E24" s="52">
        <v>1778000</v>
      </c>
      <c r="F24" s="53"/>
    </row>
    <row r="25" spans="1:6" ht="13.5" customHeight="1" x14ac:dyDescent="0.2">
      <c r="A25" s="36">
        <v>22</v>
      </c>
      <c r="B25" s="63" t="s">
        <v>3045</v>
      </c>
      <c r="C25" s="36" t="s">
        <v>828</v>
      </c>
      <c r="D25" s="41">
        <v>2451000</v>
      </c>
      <c r="E25" s="52">
        <v>2451000</v>
      </c>
      <c r="F25" s="53"/>
    </row>
    <row r="26" spans="1:6" ht="13.5" customHeight="1" x14ac:dyDescent="0.2">
      <c r="A26" s="36">
        <v>23</v>
      </c>
      <c r="B26" s="63" t="s">
        <v>794</v>
      </c>
      <c r="C26" s="36" t="s">
        <v>828</v>
      </c>
      <c r="D26" s="41">
        <v>2005000</v>
      </c>
      <c r="E26" s="52">
        <v>2005000</v>
      </c>
      <c r="F26" s="53"/>
    </row>
    <row r="27" spans="1:6" ht="13.5" customHeight="1" x14ac:dyDescent="0.2">
      <c r="A27" s="36">
        <v>24</v>
      </c>
      <c r="B27" s="63" t="s">
        <v>763</v>
      </c>
      <c r="C27" s="36" t="s">
        <v>828</v>
      </c>
      <c r="D27" s="41">
        <v>2650000</v>
      </c>
      <c r="E27" s="52">
        <v>2650000</v>
      </c>
      <c r="F27" s="53"/>
    </row>
    <row r="28" spans="1:6" ht="13.95" customHeight="1" thickBot="1" x14ac:dyDescent="0.25">
      <c r="A28" s="36">
        <v>25</v>
      </c>
      <c r="B28" s="36" t="s">
        <v>796</v>
      </c>
      <c r="C28" s="36" t="s">
        <v>832</v>
      </c>
      <c r="D28" s="41">
        <v>550000</v>
      </c>
      <c r="E28" s="42"/>
      <c r="F28" s="43"/>
    </row>
    <row r="29" spans="1:6" s="62" customFormat="1" ht="13.95" customHeight="1" thickBot="1" x14ac:dyDescent="0.25">
      <c r="A29" s="58">
        <v>24</v>
      </c>
      <c r="B29" s="58"/>
      <c r="C29" s="58" t="s">
        <v>833</v>
      </c>
      <c r="D29" s="59"/>
      <c r="E29" s="60">
        <f>SUM(E4:E28)</f>
        <v>28436000</v>
      </c>
      <c r="F29" s="61"/>
    </row>
  </sheetData>
  <mergeCells count="28">
    <mergeCell ref="A1:F1"/>
    <mergeCell ref="E22:F22"/>
    <mergeCell ref="E18:F18"/>
    <mergeCell ref="E3:F3"/>
    <mergeCell ref="E21:F21"/>
    <mergeCell ref="A2:F2"/>
    <mergeCell ref="E4:F4"/>
    <mergeCell ref="E20:F20"/>
    <mergeCell ref="E29:F29"/>
    <mergeCell ref="E10:F10"/>
    <mergeCell ref="E19:F19"/>
    <mergeCell ref="E13:F13"/>
    <mergeCell ref="E9:F9"/>
    <mergeCell ref="E6:F6"/>
    <mergeCell ref="E15:F15"/>
    <mergeCell ref="E11:F11"/>
    <mergeCell ref="E27:F27"/>
    <mergeCell ref="E26:F26"/>
    <mergeCell ref="E16:F16"/>
    <mergeCell ref="E7:F7"/>
    <mergeCell ref="E25:F25"/>
    <mergeCell ref="E12:F12"/>
    <mergeCell ref="E24:F24"/>
    <mergeCell ref="E5:F5"/>
    <mergeCell ref="E23:F23"/>
    <mergeCell ref="E14:F14"/>
    <mergeCell ref="E17:F17"/>
    <mergeCell ref="E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/>
  </sheetViews>
  <sheetFormatPr defaultRowHeight="14.4" x14ac:dyDescent="0.3"/>
  <cols>
    <col min="1" max="10" width="25" customWidth="1"/>
  </cols>
  <sheetData>
    <row r="1" spans="1:10" x14ac:dyDescent="0.3">
      <c r="A1" s="12" t="s">
        <v>834</v>
      </c>
      <c r="B1" s="12" t="s">
        <v>835</v>
      </c>
      <c r="C1" s="12" t="s">
        <v>836</v>
      </c>
      <c r="D1" s="12" t="s">
        <v>837</v>
      </c>
      <c r="E1" s="12" t="s">
        <v>60</v>
      </c>
      <c r="F1" s="12" t="s">
        <v>76</v>
      </c>
      <c r="G1" s="12" t="s">
        <v>69</v>
      </c>
      <c r="H1" s="12" t="s">
        <v>838</v>
      </c>
      <c r="I1" s="12" t="s">
        <v>839</v>
      </c>
      <c r="J1" s="12" t="s">
        <v>65</v>
      </c>
    </row>
    <row r="2" spans="1:10" x14ac:dyDescent="0.3">
      <c r="A2" s="13" t="s">
        <v>80</v>
      </c>
      <c r="B2" s="13" t="s">
        <v>81</v>
      </c>
      <c r="C2" s="13" t="s">
        <v>89</v>
      </c>
      <c r="D2" s="13" t="s">
        <v>283</v>
      </c>
      <c r="E2" s="13" t="s">
        <v>482</v>
      </c>
      <c r="F2" s="13" t="s">
        <v>110</v>
      </c>
      <c r="G2" s="13" t="s">
        <v>105</v>
      </c>
      <c r="H2" s="13" t="s">
        <v>476</v>
      </c>
      <c r="I2" s="13" t="s">
        <v>840</v>
      </c>
      <c r="J2" s="13" t="s">
        <v>101</v>
      </c>
    </row>
    <row r="3" spans="1:10" x14ac:dyDescent="0.3">
      <c r="A3" s="13" t="s">
        <v>394</v>
      </c>
      <c r="B3" s="13" t="s">
        <v>537</v>
      </c>
      <c r="C3" s="13" t="s">
        <v>841</v>
      </c>
      <c r="D3" s="13" t="s">
        <v>136</v>
      </c>
      <c r="E3" s="13" t="s">
        <v>96</v>
      </c>
      <c r="F3" s="13" t="s">
        <v>36</v>
      </c>
      <c r="G3" s="13" t="s">
        <v>127</v>
      </c>
      <c r="H3" s="13" t="s">
        <v>87</v>
      </c>
      <c r="I3" s="13" t="s">
        <v>842</v>
      </c>
      <c r="J3" s="13" t="s">
        <v>161</v>
      </c>
    </row>
    <row r="4" spans="1:10" x14ac:dyDescent="0.3">
      <c r="A4" s="13" t="s">
        <v>498</v>
      </c>
      <c r="B4" s="13" t="s">
        <v>499</v>
      </c>
      <c r="C4" s="13" t="s">
        <v>35</v>
      </c>
      <c r="D4" s="13" t="s">
        <v>90</v>
      </c>
      <c r="E4" s="13" t="s">
        <v>615</v>
      </c>
      <c r="F4" s="13" t="s">
        <v>843</v>
      </c>
      <c r="G4" s="13" t="s">
        <v>844</v>
      </c>
      <c r="H4" s="13" t="s">
        <v>154</v>
      </c>
      <c r="I4" s="13" t="s">
        <v>845</v>
      </c>
      <c r="J4" s="13" t="s">
        <v>846</v>
      </c>
    </row>
    <row r="5" spans="1:10" x14ac:dyDescent="0.3">
      <c r="A5" s="13" t="s">
        <v>470</v>
      </c>
      <c r="B5" s="13" t="s">
        <v>471</v>
      </c>
      <c r="C5" s="13" t="s">
        <v>847</v>
      </c>
      <c r="D5" s="13" t="s">
        <v>118</v>
      </c>
      <c r="E5" s="13" t="s">
        <v>848</v>
      </c>
      <c r="F5" s="13" t="s">
        <v>849</v>
      </c>
      <c r="G5" s="13" t="s">
        <v>850</v>
      </c>
      <c r="H5" s="13" t="s">
        <v>851</v>
      </c>
      <c r="J5" s="13" t="s">
        <v>850</v>
      </c>
    </row>
    <row r="6" spans="1:10" x14ac:dyDescent="0.3">
      <c r="A6" s="13" t="s">
        <v>536</v>
      </c>
      <c r="B6" s="13" t="s">
        <v>608</v>
      </c>
      <c r="C6" s="13" t="s">
        <v>852</v>
      </c>
      <c r="D6" s="13" t="s">
        <v>853</v>
      </c>
      <c r="E6" s="13" t="s">
        <v>854</v>
      </c>
      <c r="G6" s="13" t="s">
        <v>855</v>
      </c>
      <c r="H6" s="13" t="s">
        <v>856</v>
      </c>
      <c r="J6" s="13" t="s">
        <v>857</v>
      </c>
    </row>
    <row r="7" spans="1:10" x14ac:dyDescent="0.3">
      <c r="A7" s="13" t="s">
        <v>550</v>
      </c>
      <c r="B7" s="13" t="s">
        <v>629</v>
      </c>
      <c r="C7" s="13" t="s">
        <v>858</v>
      </c>
      <c r="E7" s="13" t="s">
        <v>845</v>
      </c>
      <c r="H7" s="13" t="s">
        <v>859</v>
      </c>
    </row>
    <row r="8" spans="1:10" x14ac:dyDescent="0.3">
      <c r="A8" s="13" t="s">
        <v>568</v>
      </c>
      <c r="B8" s="13" t="s">
        <v>703</v>
      </c>
      <c r="C8" s="13" t="s">
        <v>860</v>
      </c>
      <c r="H8" s="13" t="s">
        <v>861</v>
      </c>
    </row>
    <row r="9" spans="1:10" x14ac:dyDescent="0.3">
      <c r="A9" s="13" t="s">
        <v>591</v>
      </c>
      <c r="B9" s="13" t="s">
        <v>640</v>
      </c>
      <c r="C9" s="13" t="s">
        <v>862</v>
      </c>
      <c r="H9" s="13" t="s">
        <v>315</v>
      </c>
    </row>
    <row r="10" spans="1:10" x14ac:dyDescent="0.3">
      <c r="A10" s="13" t="s">
        <v>607</v>
      </c>
      <c r="B10" s="13" t="s">
        <v>863</v>
      </c>
      <c r="H10" s="13" t="s">
        <v>863</v>
      </c>
    </row>
    <row r="11" spans="1:10" x14ac:dyDescent="0.3">
      <c r="A11" s="13" t="s">
        <v>691</v>
      </c>
    </row>
    <row r="12" spans="1:10" x14ac:dyDescent="0.3">
      <c r="A12" s="13" t="s">
        <v>628</v>
      </c>
    </row>
    <row r="13" spans="1:10" x14ac:dyDescent="0.3">
      <c r="A13" s="13" t="s">
        <v>639</v>
      </c>
    </row>
    <row r="14" spans="1:10" x14ac:dyDescent="0.3">
      <c r="A14" s="13" t="s">
        <v>659</v>
      </c>
    </row>
    <row r="15" spans="1:10" x14ac:dyDescent="0.3">
      <c r="A15" s="13" t="s">
        <v>670</v>
      </c>
    </row>
    <row r="16" spans="1:10" x14ac:dyDescent="0.3">
      <c r="A16" s="13" t="s">
        <v>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04"/>
  <sheetViews>
    <sheetView workbookViewId="0">
      <pane ySplit="1" topLeftCell="A81" activePane="bottomLeft" state="frozen"/>
      <selection pane="bottomLeft"/>
    </sheetView>
  </sheetViews>
  <sheetFormatPr defaultRowHeight="14.4" x14ac:dyDescent="0.3"/>
  <cols>
    <col min="1" max="2" width="17" customWidth="1"/>
    <col min="3" max="3" width="13" customWidth="1"/>
    <col min="4" max="4" width="23" customWidth="1"/>
    <col min="5" max="5" width="16" customWidth="1"/>
    <col min="6" max="6" width="21" customWidth="1"/>
    <col min="7" max="7" width="11" customWidth="1"/>
    <col min="8" max="8" width="43" customWidth="1"/>
    <col min="9" max="9" width="12" customWidth="1"/>
    <col min="10" max="10" width="17" customWidth="1"/>
    <col min="11" max="11" width="14" customWidth="1"/>
    <col min="12" max="12" width="24" customWidth="1"/>
    <col min="13" max="13" width="25" customWidth="1"/>
    <col min="14" max="14" width="20" customWidth="1"/>
    <col min="15" max="15" width="25" customWidth="1"/>
    <col min="16" max="16" width="12" customWidth="1"/>
    <col min="17" max="17" width="25" customWidth="1"/>
    <col min="18" max="19" width="43" customWidth="1"/>
  </cols>
  <sheetData>
    <row r="1" spans="1:19" x14ac:dyDescent="0.3">
      <c r="A1" s="19" t="s">
        <v>864</v>
      </c>
      <c r="B1" s="19" t="s">
        <v>40</v>
      </c>
      <c r="C1" s="19" t="s">
        <v>41</v>
      </c>
      <c r="D1" s="19" t="s">
        <v>865</v>
      </c>
      <c r="E1" s="19" t="s">
        <v>45</v>
      </c>
      <c r="F1" s="19" t="s">
        <v>47</v>
      </c>
      <c r="G1" s="19" t="s">
        <v>49</v>
      </c>
      <c r="H1" s="19" t="s">
        <v>61</v>
      </c>
      <c r="I1" s="19" t="s">
        <v>866</v>
      </c>
      <c r="J1" s="19" t="s">
        <v>867</v>
      </c>
      <c r="K1" s="19" t="s">
        <v>868</v>
      </c>
      <c r="L1" s="19" t="s">
        <v>59</v>
      </c>
      <c r="M1" s="19" t="s">
        <v>869</v>
      </c>
      <c r="N1" s="19" t="s">
        <v>870</v>
      </c>
      <c r="O1" s="19" t="s">
        <v>871</v>
      </c>
      <c r="P1" s="19" t="s">
        <v>51</v>
      </c>
      <c r="Q1" s="19" t="s">
        <v>872</v>
      </c>
      <c r="R1" s="19" t="s">
        <v>873</v>
      </c>
      <c r="S1" s="19" t="s">
        <v>78</v>
      </c>
    </row>
    <row r="2" spans="1:19" ht="28.8" x14ac:dyDescent="0.3">
      <c r="A2" s="23" t="s">
        <v>874</v>
      </c>
      <c r="B2" s="23" t="s">
        <v>79</v>
      </c>
      <c r="C2" s="23" t="s">
        <v>80</v>
      </c>
      <c r="D2" s="23" t="s">
        <v>875</v>
      </c>
      <c r="E2" s="23" t="s">
        <v>84</v>
      </c>
      <c r="F2" s="23" t="s">
        <v>86</v>
      </c>
      <c r="G2" s="23" t="s">
        <v>88</v>
      </c>
      <c r="H2" s="24" t="s">
        <v>97</v>
      </c>
      <c r="I2" s="24" t="s">
        <v>96</v>
      </c>
      <c r="J2" s="23" t="s">
        <v>876</v>
      </c>
      <c r="K2" s="25" t="s">
        <v>876</v>
      </c>
      <c r="L2" s="23" t="s">
        <v>877</v>
      </c>
      <c r="M2" s="23" t="s">
        <v>878</v>
      </c>
      <c r="N2" s="23" t="s">
        <v>131</v>
      </c>
      <c r="O2" s="23">
        <v>20000</v>
      </c>
      <c r="P2" s="29" t="s">
        <v>879</v>
      </c>
      <c r="Q2" s="23" t="s">
        <v>880</v>
      </c>
      <c r="R2" s="23"/>
      <c r="S2" s="23" t="s">
        <v>881</v>
      </c>
    </row>
    <row r="3" spans="1:19" ht="28.8" x14ac:dyDescent="0.3">
      <c r="A3" s="23" t="s">
        <v>882</v>
      </c>
      <c r="B3" s="23" t="s">
        <v>79</v>
      </c>
      <c r="C3" s="23" t="s">
        <v>80</v>
      </c>
      <c r="D3" s="23" t="s">
        <v>875</v>
      </c>
      <c r="E3" s="23" t="s">
        <v>84</v>
      </c>
      <c r="F3" s="23" t="s">
        <v>86</v>
      </c>
      <c r="G3" s="23" t="s">
        <v>88</v>
      </c>
      <c r="H3" s="24" t="s">
        <v>97</v>
      </c>
      <c r="I3" s="24" t="s">
        <v>96</v>
      </c>
      <c r="J3" s="23" t="s">
        <v>877</v>
      </c>
      <c r="K3" s="25" t="s">
        <v>883</v>
      </c>
      <c r="L3" s="23" t="s">
        <v>884</v>
      </c>
      <c r="M3" s="23" t="s">
        <v>885</v>
      </c>
      <c r="N3" s="23" t="s">
        <v>131</v>
      </c>
      <c r="O3" s="23">
        <v>15000</v>
      </c>
      <c r="P3" s="29" t="s">
        <v>879</v>
      </c>
      <c r="Q3" s="23" t="s">
        <v>886</v>
      </c>
      <c r="R3" s="23"/>
      <c r="S3" s="23" t="s">
        <v>887</v>
      </c>
    </row>
    <row r="4" spans="1:19" ht="28.8" x14ac:dyDescent="0.3">
      <c r="A4" s="23" t="s">
        <v>888</v>
      </c>
      <c r="B4" s="23" t="s">
        <v>79</v>
      </c>
      <c r="C4" s="23" t="s">
        <v>80</v>
      </c>
      <c r="D4" s="23" t="s">
        <v>875</v>
      </c>
      <c r="E4" s="23" t="s">
        <v>84</v>
      </c>
      <c r="F4" s="23" t="s">
        <v>86</v>
      </c>
      <c r="G4" s="23" t="s">
        <v>88</v>
      </c>
      <c r="H4" s="24" t="s">
        <v>97</v>
      </c>
      <c r="I4" s="24" t="s">
        <v>96</v>
      </c>
      <c r="J4" s="23" t="s">
        <v>884</v>
      </c>
      <c r="K4" s="25" t="s">
        <v>884</v>
      </c>
      <c r="L4" s="23" t="s">
        <v>889</v>
      </c>
      <c r="M4" s="23" t="s">
        <v>890</v>
      </c>
      <c r="N4" s="23" t="s">
        <v>111</v>
      </c>
      <c r="O4" s="23">
        <v>30000</v>
      </c>
      <c r="P4" s="29" t="s">
        <v>879</v>
      </c>
      <c r="Q4" s="23" t="s">
        <v>891</v>
      </c>
      <c r="R4" s="23"/>
      <c r="S4" s="23" t="s">
        <v>892</v>
      </c>
    </row>
    <row r="5" spans="1:19" ht="28.8" x14ac:dyDescent="0.3">
      <c r="A5" s="23" t="s">
        <v>893</v>
      </c>
      <c r="B5" s="23" t="s">
        <v>79</v>
      </c>
      <c r="C5" s="23" t="s">
        <v>80</v>
      </c>
      <c r="D5" s="23" t="s">
        <v>875</v>
      </c>
      <c r="E5" s="23" t="s">
        <v>84</v>
      </c>
      <c r="F5" s="23" t="s">
        <v>86</v>
      </c>
      <c r="G5" s="23" t="s">
        <v>88</v>
      </c>
      <c r="H5" s="24" t="s">
        <v>97</v>
      </c>
      <c r="I5" s="24" t="s">
        <v>96</v>
      </c>
      <c r="J5" s="23" t="s">
        <v>889</v>
      </c>
      <c r="K5" s="25" t="s">
        <v>894</v>
      </c>
      <c r="L5" s="23" t="s">
        <v>895</v>
      </c>
      <c r="M5" s="23" t="s">
        <v>890</v>
      </c>
      <c r="N5" s="23" t="s">
        <v>896</v>
      </c>
      <c r="O5" s="23">
        <v>30000</v>
      </c>
      <c r="P5" s="29" t="s">
        <v>879</v>
      </c>
      <c r="Q5" s="23" t="s">
        <v>897</v>
      </c>
      <c r="R5" s="23"/>
      <c r="S5" s="23" t="s">
        <v>898</v>
      </c>
    </row>
    <row r="6" spans="1:19" ht="28.8" x14ac:dyDescent="0.3">
      <c r="A6" s="23" t="s">
        <v>899</v>
      </c>
      <c r="B6" s="23" t="s">
        <v>79</v>
      </c>
      <c r="C6" s="23" t="s">
        <v>80</v>
      </c>
      <c r="D6" s="23" t="s">
        <v>875</v>
      </c>
      <c r="E6" s="23" t="s">
        <v>84</v>
      </c>
      <c r="F6" s="23" t="s">
        <v>86</v>
      </c>
      <c r="G6" s="23" t="s">
        <v>88</v>
      </c>
      <c r="H6" s="24" t="s">
        <v>97</v>
      </c>
      <c r="I6" s="24" t="s">
        <v>96</v>
      </c>
      <c r="J6" s="23" t="s">
        <v>895</v>
      </c>
      <c r="K6" s="25" t="s">
        <v>900</v>
      </c>
      <c r="L6" s="23" t="s">
        <v>901</v>
      </c>
      <c r="M6" s="23" t="s">
        <v>902</v>
      </c>
      <c r="N6" s="23" t="s">
        <v>896</v>
      </c>
      <c r="O6" s="23">
        <v>30000</v>
      </c>
      <c r="P6" s="29" t="s">
        <v>879</v>
      </c>
      <c r="Q6" s="23" t="s">
        <v>903</v>
      </c>
      <c r="R6" s="23"/>
      <c r="S6" s="23" t="s">
        <v>904</v>
      </c>
    </row>
    <row r="7" spans="1:19" ht="28.8" x14ac:dyDescent="0.3">
      <c r="A7" s="23" t="s">
        <v>905</v>
      </c>
      <c r="B7" s="23" t="s">
        <v>79</v>
      </c>
      <c r="C7" s="23" t="s">
        <v>80</v>
      </c>
      <c r="D7" s="23" t="s">
        <v>875</v>
      </c>
      <c r="E7" s="23" t="s">
        <v>84</v>
      </c>
      <c r="F7" s="23" t="s">
        <v>86</v>
      </c>
      <c r="G7" s="23" t="s">
        <v>88</v>
      </c>
      <c r="H7" s="24" t="s">
        <v>97</v>
      </c>
      <c r="I7" s="24" t="s">
        <v>96</v>
      </c>
      <c r="J7" s="23" t="s">
        <v>901</v>
      </c>
      <c r="K7" s="25" t="s">
        <v>906</v>
      </c>
      <c r="L7" s="23" t="s">
        <v>907</v>
      </c>
      <c r="M7" s="23" t="s">
        <v>885</v>
      </c>
      <c r="N7" s="23" t="s">
        <v>131</v>
      </c>
      <c r="O7" s="23">
        <v>15000</v>
      </c>
      <c r="P7" s="29" t="s">
        <v>879</v>
      </c>
      <c r="Q7" s="23" t="s">
        <v>908</v>
      </c>
      <c r="R7" s="23"/>
      <c r="S7" s="23" t="s">
        <v>892</v>
      </c>
    </row>
    <row r="8" spans="1:19" ht="28.8" x14ac:dyDescent="0.3">
      <c r="A8" s="23" t="s">
        <v>909</v>
      </c>
      <c r="B8" s="23" t="s">
        <v>79</v>
      </c>
      <c r="C8" s="23" t="s">
        <v>80</v>
      </c>
      <c r="D8" s="23" t="s">
        <v>875</v>
      </c>
      <c r="E8" s="23" t="s">
        <v>84</v>
      </c>
      <c r="F8" s="23" t="s">
        <v>86</v>
      </c>
      <c r="G8" s="23" t="s">
        <v>88</v>
      </c>
      <c r="H8" s="24" t="s">
        <v>97</v>
      </c>
      <c r="I8" s="24" t="s">
        <v>96</v>
      </c>
      <c r="J8" s="23" t="s">
        <v>907</v>
      </c>
      <c r="K8" s="25" t="s">
        <v>910</v>
      </c>
      <c r="L8" s="23" t="s">
        <v>911</v>
      </c>
      <c r="M8" s="23" t="s">
        <v>878</v>
      </c>
      <c r="N8" s="23" t="s">
        <v>111</v>
      </c>
      <c r="O8" s="23">
        <v>20000</v>
      </c>
      <c r="P8" s="29" t="s">
        <v>879</v>
      </c>
      <c r="Q8" s="23" t="s">
        <v>912</v>
      </c>
      <c r="R8" s="23"/>
      <c r="S8" s="23" t="s">
        <v>887</v>
      </c>
    </row>
    <row r="9" spans="1:19" ht="28.8" x14ac:dyDescent="0.3">
      <c r="A9" s="23" t="s">
        <v>913</v>
      </c>
      <c r="B9" s="23" t="s">
        <v>79</v>
      </c>
      <c r="C9" s="23" t="s">
        <v>80</v>
      </c>
      <c r="D9" s="23" t="s">
        <v>875</v>
      </c>
      <c r="E9" s="23" t="s">
        <v>84</v>
      </c>
      <c r="F9" s="23" t="s">
        <v>86</v>
      </c>
      <c r="G9" s="23" t="s">
        <v>88</v>
      </c>
      <c r="H9" s="24" t="s">
        <v>97</v>
      </c>
      <c r="I9" s="24" t="s">
        <v>96</v>
      </c>
      <c r="J9" s="23" t="s">
        <v>911</v>
      </c>
      <c r="K9" s="25" t="s">
        <v>914</v>
      </c>
      <c r="L9" s="23" t="s">
        <v>915</v>
      </c>
      <c r="M9" s="23" t="s">
        <v>902</v>
      </c>
      <c r="N9" s="23" t="s">
        <v>219</v>
      </c>
      <c r="O9" s="23">
        <v>30000</v>
      </c>
      <c r="P9" s="29" t="s">
        <v>879</v>
      </c>
      <c r="Q9" s="23" t="s">
        <v>916</v>
      </c>
      <c r="R9" s="23"/>
      <c r="S9" s="23" t="s">
        <v>904</v>
      </c>
    </row>
    <row r="10" spans="1:19" ht="28.8" x14ac:dyDescent="0.3">
      <c r="A10" s="23" t="s">
        <v>917</v>
      </c>
      <c r="B10" s="23" t="s">
        <v>79</v>
      </c>
      <c r="C10" s="23" t="s">
        <v>80</v>
      </c>
      <c r="D10" s="23" t="s">
        <v>875</v>
      </c>
      <c r="E10" s="23" t="s">
        <v>84</v>
      </c>
      <c r="F10" s="23" t="s">
        <v>86</v>
      </c>
      <c r="G10" s="23" t="s">
        <v>88</v>
      </c>
      <c r="H10" s="24" t="s">
        <v>97</v>
      </c>
      <c r="I10" s="24" t="s">
        <v>96</v>
      </c>
      <c r="J10" s="23" t="s">
        <v>915</v>
      </c>
      <c r="K10" s="25" t="s">
        <v>918</v>
      </c>
      <c r="L10" s="23" t="s">
        <v>919</v>
      </c>
      <c r="M10" s="23" t="s">
        <v>878</v>
      </c>
      <c r="N10" s="23" t="s">
        <v>920</v>
      </c>
      <c r="O10" s="23">
        <v>15000</v>
      </c>
      <c r="P10" s="29" t="s">
        <v>879</v>
      </c>
      <c r="Q10" s="23" t="s">
        <v>921</v>
      </c>
      <c r="R10" s="23"/>
      <c r="S10" s="23" t="s">
        <v>887</v>
      </c>
    </row>
    <row r="11" spans="1:19" ht="28.8" x14ac:dyDescent="0.3">
      <c r="A11" s="23" t="s">
        <v>922</v>
      </c>
      <c r="B11" s="23" t="s">
        <v>79</v>
      </c>
      <c r="C11" s="23" t="s">
        <v>80</v>
      </c>
      <c r="D11" s="23" t="s">
        <v>875</v>
      </c>
      <c r="E11" s="23" t="s">
        <v>84</v>
      </c>
      <c r="F11" s="23" t="s">
        <v>86</v>
      </c>
      <c r="G11" s="23" t="s">
        <v>88</v>
      </c>
      <c r="H11" s="24" t="s">
        <v>97</v>
      </c>
      <c r="I11" s="24" t="s">
        <v>96</v>
      </c>
      <c r="J11" s="23" t="s">
        <v>919</v>
      </c>
      <c r="K11" s="25" t="s">
        <v>923</v>
      </c>
      <c r="L11" s="23" t="s">
        <v>924</v>
      </c>
      <c r="M11" s="23" t="s">
        <v>890</v>
      </c>
      <c r="N11" s="23" t="s">
        <v>920</v>
      </c>
      <c r="O11" s="23">
        <v>25000</v>
      </c>
      <c r="P11" s="29" t="s">
        <v>879</v>
      </c>
      <c r="Q11" s="23" t="s">
        <v>925</v>
      </c>
      <c r="R11" s="23"/>
      <c r="S11" s="23" t="s">
        <v>926</v>
      </c>
    </row>
    <row r="12" spans="1:19" ht="28.8" x14ac:dyDescent="0.3">
      <c r="A12" s="23" t="s">
        <v>927</v>
      </c>
      <c r="B12" s="23" t="s">
        <v>79</v>
      </c>
      <c r="C12" s="23" t="s">
        <v>80</v>
      </c>
      <c r="D12" s="23" t="s">
        <v>875</v>
      </c>
      <c r="E12" s="23" t="s">
        <v>84</v>
      </c>
      <c r="F12" s="23" t="s">
        <v>86</v>
      </c>
      <c r="G12" s="23" t="s">
        <v>88</v>
      </c>
      <c r="H12" s="24" t="s">
        <v>97</v>
      </c>
      <c r="I12" s="24" t="s">
        <v>96</v>
      </c>
      <c r="J12" s="23" t="s">
        <v>924</v>
      </c>
      <c r="K12" s="25" t="s">
        <v>924</v>
      </c>
      <c r="L12" s="23" t="s">
        <v>928</v>
      </c>
      <c r="M12" s="23" t="s">
        <v>890</v>
      </c>
      <c r="N12" s="23" t="s">
        <v>929</v>
      </c>
      <c r="O12" s="23">
        <v>25000</v>
      </c>
      <c r="P12" s="29" t="s">
        <v>879</v>
      </c>
      <c r="Q12" s="23" t="s">
        <v>930</v>
      </c>
      <c r="R12" s="23"/>
      <c r="S12" s="23" t="s">
        <v>931</v>
      </c>
    </row>
    <row r="13" spans="1:19" ht="28.8" x14ac:dyDescent="0.3">
      <c r="A13" s="23" t="s">
        <v>932</v>
      </c>
      <c r="B13" s="23" t="s">
        <v>79</v>
      </c>
      <c r="C13" s="23" t="s">
        <v>80</v>
      </c>
      <c r="D13" s="23" t="s">
        <v>875</v>
      </c>
      <c r="E13" s="23" t="s">
        <v>84</v>
      </c>
      <c r="F13" s="23" t="s">
        <v>86</v>
      </c>
      <c r="G13" s="23" t="s">
        <v>88</v>
      </c>
      <c r="H13" s="24" t="s">
        <v>97</v>
      </c>
      <c r="I13" s="24" t="s">
        <v>96</v>
      </c>
      <c r="J13" s="23" t="s">
        <v>928</v>
      </c>
      <c r="K13" s="25" t="s">
        <v>928</v>
      </c>
      <c r="L13" s="23" t="s">
        <v>933</v>
      </c>
      <c r="M13" s="23" t="s">
        <v>878</v>
      </c>
      <c r="N13" s="23" t="s">
        <v>920</v>
      </c>
      <c r="O13" s="23">
        <v>20000</v>
      </c>
      <c r="P13" s="29" t="s">
        <v>879</v>
      </c>
      <c r="Q13" s="23" t="s">
        <v>934</v>
      </c>
      <c r="R13" s="23"/>
      <c r="S13" s="23" t="s">
        <v>892</v>
      </c>
    </row>
    <row r="14" spans="1:19" ht="28.8" x14ac:dyDescent="0.3">
      <c r="A14" s="23" t="s">
        <v>935</v>
      </c>
      <c r="B14" s="23" t="s">
        <v>79</v>
      </c>
      <c r="C14" s="23" t="s">
        <v>80</v>
      </c>
      <c r="D14" s="23" t="s">
        <v>875</v>
      </c>
      <c r="E14" s="23" t="s">
        <v>84</v>
      </c>
      <c r="F14" s="23" t="s">
        <v>86</v>
      </c>
      <c r="G14" s="23" t="s">
        <v>88</v>
      </c>
      <c r="H14" s="24" t="s">
        <v>97</v>
      </c>
      <c r="I14" s="24" t="s">
        <v>96</v>
      </c>
      <c r="J14" s="23" t="s">
        <v>933</v>
      </c>
      <c r="K14" s="25" t="s">
        <v>933</v>
      </c>
      <c r="L14" s="23" t="s">
        <v>936</v>
      </c>
      <c r="M14" s="23" t="s">
        <v>885</v>
      </c>
      <c r="N14" s="23" t="s">
        <v>896</v>
      </c>
      <c r="O14" s="23">
        <v>25000</v>
      </c>
      <c r="P14" s="29" t="s">
        <v>879</v>
      </c>
      <c r="Q14" s="23" t="s">
        <v>937</v>
      </c>
      <c r="R14" s="23" t="s">
        <v>938</v>
      </c>
      <c r="S14" s="23" t="s">
        <v>939</v>
      </c>
    </row>
    <row r="15" spans="1:19" ht="28.8" x14ac:dyDescent="0.3">
      <c r="A15" s="23" t="s">
        <v>940</v>
      </c>
      <c r="B15" s="23" t="s">
        <v>79</v>
      </c>
      <c r="C15" s="23" t="s">
        <v>80</v>
      </c>
      <c r="D15" s="23" t="s">
        <v>875</v>
      </c>
      <c r="E15" s="23" t="s">
        <v>84</v>
      </c>
      <c r="F15" s="23" t="s">
        <v>86</v>
      </c>
      <c r="G15" s="23" t="s">
        <v>88</v>
      </c>
      <c r="H15" s="24" t="s">
        <v>97</v>
      </c>
      <c r="I15" s="24" t="s">
        <v>96</v>
      </c>
      <c r="J15" s="23" t="s">
        <v>936</v>
      </c>
      <c r="K15" s="25" t="s">
        <v>941</v>
      </c>
      <c r="L15" s="23" t="s">
        <v>566</v>
      </c>
      <c r="M15" s="23" t="s">
        <v>890</v>
      </c>
      <c r="N15" s="23" t="s">
        <v>920</v>
      </c>
      <c r="O15" s="23">
        <v>30000</v>
      </c>
      <c r="P15" s="29" t="s">
        <v>879</v>
      </c>
      <c r="Q15" s="23" t="s">
        <v>942</v>
      </c>
      <c r="R15" s="23"/>
      <c r="S15" s="23" t="s">
        <v>931</v>
      </c>
    </row>
    <row r="16" spans="1:19" ht="28.8" x14ac:dyDescent="0.3">
      <c r="A16" s="23" t="s">
        <v>943</v>
      </c>
      <c r="B16" s="23" t="s">
        <v>79</v>
      </c>
      <c r="C16" s="23" t="s">
        <v>80</v>
      </c>
      <c r="D16" s="23" t="s">
        <v>875</v>
      </c>
      <c r="E16" s="23" t="s">
        <v>84</v>
      </c>
      <c r="F16" s="23" t="s">
        <v>86</v>
      </c>
      <c r="G16" s="23" t="s">
        <v>88</v>
      </c>
      <c r="H16" s="24" t="s">
        <v>97</v>
      </c>
      <c r="I16" s="24" t="s">
        <v>96</v>
      </c>
      <c r="J16" s="23" t="s">
        <v>566</v>
      </c>
      <c r="K16" s="25" t="s">
        <v>94</v>
      </c>
      <c r="L16" s="23" t="s">
        <v>95</v>
      </c>
      <c r="M16" s="23" t="s">
        <v>902</v>
      </c>
      <c r="N16" s="23" t="s">
        <v>168</v>
      </c>
      <c r="O16" s="23">
        <v>15000</v>
      </c>
      <c r="P16" s="29" t="s">
        <v>879</v>
      </c>
      <c r="Q16" s="23" t="s">
        <v>944</v>
      </c>
      <c r="R16" s="23" t="s">
        <v>945</v>
      </c>
      <c r="S16" s="23" t="s">
        <v>904</v>
      </c>
    </row>
    <row r="17" spans="1:19" ht="28.8" x14ac:dyDescent="0.3">
      <c r="A17" s="23" t="s">
        <v>946</v>
      </c>
      <c r="B17" s="23" t="s">
        <v>79</v>
      </c>
      <c r="C17" s="23" t="s">
        <v>80</v>
      </c>
      <c r="D17" s="23" t="s">
        <v>875</v>
      </c>
      <c r="E17" s="23" t="s">
        <v>84</v>
      </c>
      <c r="F17" s="23" t="s">
        <v>86</v>
      </c>
      <c r="G17" s="23" t="s">
        <v>88</v>
      </c>
      <c r="H17" s="24" t="s">
        <v>97</v>
      </c>
      <c r="I17" s="24" t="s">
        <v>96</v>
      </c>
      <c r="J17" s="23" t="s">
        <v>95</v>
      </c>
      <c r="K17" s="25"/>
      <c r="L17" s="23" t="s">
        <v>947</v>
      </c>
      <c r="M17" s="23" t="s">
        <v>885</v>
      </c>
      <c r="N17" s="23" t="s">
        <v>131</v>
      </c>
      <c r="O17" s="23">
        <v>0</v>
      </c>
      <c r="P17" s="30" t="s">
        <v>948</v>
      </c>
      <c r="Q17" s="23" t="s">
        <v>949</v>
      </c>
      <c r="R17" s="23"/>
      <c r="S17" s="23" t="s">
        <v>950</v>
      </c>
    </row>
    <row r="18" spans="1:19" ht="28.8" x14ac:dyDescent="0.3">
      <c r="A18" s="23" t="s">
        <v>951</v>
      </c>
      <c r="B18" s="23" t="s">
        <v>112</v>
      </c>
      <c r="C18" s="23" t="s">
        <v>80</v>
      </c>
      <c r="D18" s="23" t="s">
        <v>952</v>
      </c>
      <c r="E18" s="23" t="s">
        <v>115</v>
      </c>
      <c r="F18" s="23" t="s">
        <v>117</v>
      </c>
      <c r="G18" s="23" t="s">
        <v>88</v>
      </c>
      <c r="H18" s="24" t="s">
        <v>97</v>
      </c>
      <c r="I18" s="24" t="s">
        <v>96</v>
      </c>
      <c r="J18" s="23" t="s">
        <v>953</v>
      </c>
      <c r="K18" s="25" t="s">
        <v>954</v>
      </c>
      <c r="L18" s="23" t="s">
        <v>955</v>
      </c>
      <c r="M18" s="23" t="s">
        <v>878</v>
      </c>
      <c r="N18" s="23" t="s">
        <v>896</v>
      </c>
      <c r="O18" s="23">
        <v>20000</v>
      </c>
      <c r="P18" s="29" t="s">
        <v>879</v>
      </c>
      <c r="Q18" s="23" t="s">
        <v>956</v>
      </c>
      <c r="R18" s="23"/>
      <c r="S18" s="23" t="s">
        <v>898</v>
      </c>
    </row>
    <row r="19" spans="1:19" ht="28.8" x14ac:dyDescent="0.3">
      <c r="A19" s="23" t="s">
        <v>957</v>
      </c>
      <c r="B19" s="23" t="s">
        <v>112</v>
      </c>
      <c r="C19" s="23" t="s">
        <v>80</v>
      </c>
      <c r="D19" s="23" t="s">
        <v>952</v>
      </c>
      <c r="E19" s="23" t="s">
        <v>115</v>
      </c>
      <c r="F19" s="23" t="s">
        <v>117</v>
      </c>
      <c r="G19" s="23" t="s">
        <v>88</v>
      </c>
      <c r="H19" s="24" t="s">
        <v>97</v>
      </c>
      <c r="I19" s="24" t="s">
        <v>96</v>
      </c>
      <c r="J19" s="23" t="s">
        <v>958</v>
      </c>
      <c r="K19" s="25" t="s">
        <v>959</v>
      </c>
      <c r="L19" s="23" t="s">
        <v>960</v>
      </c>
      <c r="M19" s="23" t="s">
        <v>885</v>
      </c>
      <c r="N19" s="23" t="s">
        <v>168</v>
      </c>
      <c r="O19" s="23">
        <v>15000</v>
      </c>
      <c r="P19" s="29" t="s">
        <v>879</v>
      </c>
      <c r="Q19" s="23" t="s">
        <v>961</v>
      </c>
      <c r="R19" s="23"/>
      <c r="S19" s="23" t="s">
        <v>892</v>
      </c>
    </row>
    <row r="20" spans="1:19" ht="28.8" x14ac:dyDescent="0.3">
      <c r="A20" s="23" t="s">
        <v>962</v>
      </c>
      <c r="B20" s="23" t="s">
        <v>112</v>
      </c>
      <c r="C20" s="23" t="s">
        <v>80</v>
      </c>
      <c r="D20" s="23" t="s">
        <v>952</v>
      </c>
      <c r="E20" s="23" t="s">
        <v>115</v>
      </c>
      <c r="F20" s="23" t="s">
        <v>117</v>
      </c>
      <c r="G20" s="23" t="s">
        <v>88</v>
      </c>
      <c r="H20" s="24" t="s">
        <v>97</v>
      </c>
      <c r="I20" s="24" t="s">
        <v>96</v>
      </c>
      <c r="J20" s="23" t="s">
        <v>960</v>
      </c>
      <c r="K20" s="25" t="s">
        <v>963</v>
      </c>
      <c r="L20" s="23" t="s">
        <v>964</v>
      </c>
      <c r="M20" s="23" t="s">
        <v>902</v>
      </c>
      <c r="N20" s="23" t="s">
        <v>920</v>
      </c>
      <c r="O20" s="23">
        <v>15000</v>
      </c>
      <c r="P20" s="29" t="s">
        <v>879</v>
      </c>
      <c r="Q20" s="23" t="s">
        <v>965</v>
      </c>
      <c r="R20" s="23"/>
      <c r="S20" s="23" t="s">
        <v>898</v>
      </c>
    </row>
    <row r="21" spans="1:19" ht="28.8" x14ac:dyDescent="0.3">
      <c r="A21" s="23" t="s">
        <v>966</v>
      </c>
      <c r="B21" s="23" t="s">
        <v>112</v>
      </c>
      <c r="C21" s="23" t="s">
        <v>80</v>
      </c>
      <c r="D21" s="23" t="s">
        <v>952</v>
      </c>
      <c r="E21" s="23" t="s">
        <v>115</v>
      </c>
      <c r="F21" s="23" t="s">
        <v>117</v>
      </c>
      <c r="G21" s="23" t="s">
        <v>88</v>
      </c>
      <c r="H21" s="24" t="s">
        <v>97</v>
      </c>
      <c r="I21" s="24" t="s">
        <v>96</v>
      </c>
      <c r="J21" s="23" t="s">
        <v>967</v>
      </c>
      <c r="K21" s="25" t="s">
        <v>968</v>
      </c>
      <c r="L21" s="23" t="s">
        <v>969</v>
      </c>
      <c r="M21" s="23" t="s">
        <v>885</v>
      </c>
      <c r="N21" s="23" t="s">
        <v>929</v>
      </c>
      <c r="O21" s="23">
        <v>20000</v>
      </c>
      <c r="P21" s="29" t="s">
        <v>879</v>
      </c>
      <c r="Q21" s="23" t="s">
        <v>970</v>
      </c>
      <c r="R21" s="23"/>
      <c r="S21" s="23" t="s">
        <v>892</v>
      </c>
    </row>
    <row r="22" spans="1:19" ht="28.8" x14ac:dyDescent="0.3">
      <c r="A22" s="23" t="s">
        <v>971</v>
      </c>
      <c r="B22" s="23" t="s">
        <v>112</v>
      </c>
      <c r="C22" s="23" t="s">
        <v>80</v>
      </c>
      <c r="D22" s="23" t="s">
        <v>952</v>
      </c>
      <c r="E22" s="23" t="s">
        <v>115</v>
      </c>
      <c r="F22" s="23" t="s">
        <v>117</v>
      </c>
      <c r="G22" s="23" t="s">
        <v>88</v>
      </c>
      <c r="H22" s="24" t="s">
        <v>97</v>
      </c>
      <c r="I22" s="24" t="s">
        <v>96</v>
      </c>
      <c r="J22" s="23" t="s">
        <v>969</v>
      </c>
      <c r="K22" s="25" t="s">
        <v>972</v>
      </c>
      <c r="L22" s="23" t="s">
        <v>973</v>
      </c>
      <c r="M22" s="23" t="s">
        <v>885</v>
      </c>
      <c r="N22" s="23" t="s">
        <v>131</v>
      </c>
      <c r="O22" s="23">
        <v>30000</v>
      </c>
      <c r="P22" s="29" t="s">
        <v>879</v>
      </c>
      <c r="Q22" s="23" t="s">
        <v>974</v>
      </c>
      <c r="R22" s="23" t="s">
        <v>938</v>
      </c>
      <c r="S22" s="23" t="s">
        <v>887</v>
      </c>
    </row>
    <row r="23" spans="1:19" ht="28.8" x14ac:dyDescent="0.3">
      <c r="A23" s="23" t="s">
        <v>975</v>
      </c>
      <c r="B23" s="23" t="s">
        <v>112</v>
      </c>
      <c r="C23" s="23" t="s">
        <v>80</v>
      </c>
      <c r="D23" s="23" t="s">
        <v>952</v>
      </c>
      <c r="E23" s="23" t="s">
        <v>115</v>
      </c>
      <c r="F23" s="23" t="s">
        <v>117</v>
      </c>
      <c r="G23" s="23" t="s">
        <v>88</v>
      </c>
      <c r="H23" s="24" t="s">
        <v>97</v>
      </c>
      <c r="I23" s="24" t="s">
        <v>96</v>
      </c>
      <c r="J23" s="23" t="s">
        <v>973</v>
      </c>
      <c r="K23" s="25" t="s">
        <v>976</v>
      </c>
      <c r="L23" s="23" t="s">
        <v>977</v>
      </c>
      <c r="M23" s="23" t="s">
        <v>890</v>
      </c>
      <c r="N23" s="23" t="s">
        <v>896</v>
      </c>
      <c r="O23" s="23">
        <v>15000</v>
      </c>
      <c r="P23" s="29" t="s">
        <v>879</v>
      </c>
      <c r="Q23" s="23" t="s">
        <v>978</v>
      </c>
      <c r="R23" s="23" t="s">
        <v>938</v>
      </c>
      <c r="S23" s="23" t="s">
        <v>887</v>
      </c>
    </row>
    <row r="24" spans="1:19" ht="28.8" x14ac:dyDescent="0.3">
      <c r="A24" s="23" t="s">
        <v>979</v>
      </c>
      <c r="B24" s="23" t="s">
        <v>112</v>
      </c>
      <c r="C24" s="23" t="s">
        <v>80</v>
      </c>
      <c r="D24" s="23" t="s">
        <v>952</v>
      </c>
      <c r="E24" s="23" t="s">
        <v>115</v>
      </c>
      <c r="F24" s="23" t="s">
        <v>117</v>
      </c>
      <c r="G24" s="23" t="s">
        <v>88</v>
      </c>
      <c r="H24" s="24" t="s">
        <v>97</v>
      </c>
      <c r="I24" s="24" t="s">
        <v>96</v>
      </c>
      <c r="J24" s="23" t="s">
        <v>977</v>
      </c>
      <c r="K24" s="25" t="s">
        <v>980</v>
      </c>
      <c r="L24" s="23" t="s">
        <v>981</v>
      </c>
      <c r="M24" s="23" t="s">
        <v>890</v>
      </c>
      <c r="N24" s="23" t="s">
        <v>131</v>
      </c>
      <c r="O24" s="23">
        <v>25000</v>
      </c>
      <c r="P24" s="29" t="s">
        <v>879</v>
      </c>
      <c r="Q24" s="23" t="s">
        <v>982</v>
      </c>
      <c r="R24" s="23"/>
      <c r="S24" s="23" t="s">
        <v>898</v>
      </c>
    </row>
    <row r="25" spans="1:19" ht="28.8" x14ac:dyDescent="0.3">
      <c r="A25" s="23" t="s">
        <v>983</v>
      </c>
      <c r="B25" s="23" t="s">
        <v>112</v>
      </c>
      <c r="C25" s="23" t="s">
        <v>80</v>
      </c>
      <c r="D25" s="23" t="s">
        <v>952</v>
      </c>
      <c r="E25" s="23" t="s">
        <v>115</v>
      </c>
      <c r="F25" s="23" t="s">
        <v>117</v>
      </c>
      <c r="G25" s="23" t="s">
        <v>88</v>
      </c>
      <c r="H25" s="24" t="s">
        <v>97</v>
      </c>
      <c r="I25" s="24" t="s">
        <v>96</v>
      </c>
      <c r="J25" s="23" t="s">
        <v>981</v>
      </c>
      <c r="K25" s="25" t="s">
        <v>984</v>
      </c>
      <c r="L25" s="23" t="s">
        <v>985</v>
      </c>
      <c r="M25" s="23" t="s">
        <v>890</v>
      </c>
      <c r="N25" s="23" t="s">
        <v>219</v>
      </c>
      <c r="O25" s="23">
        <v>30000</v>
      </c>
      <c r="P25" s="29" t="s">
        <v>879</v>
      </c>
      <c r="Q25" s="23" t="s">
        <v>986</v>
      </c>
      <c r="R25" s="23" t="s">
        <v>945</v>
      </c>
      <c r="S25" s="23" t="s">
        <v>881</v>
      </c>
    </row>
    <row r="26" spans="1:19" ht="28.8" x14ac:dyDescent="0.3">
      <c r="A26" s="23" t="s">
        <v>987</v>
      </c>
      <c r="B26" s="23" t="s">
        <v>112</v>
      </c>
      <c r="C26" s="23" t="s">
        <v>80</v>
      </c>
      <c r="D26" s="23" t="s">
        <v>952</v>
      </c>
      <c r="E26" s="23" t="s">
        <v>115</v>
      </c>
      <c r="F26" s="23" t="s">
        <v>117</v>
      </c>
      <c r="G26" s="23" t="s">
        <v>88</v>
      </c>
      <c r="H26" s="24" t="s">
        <v>97</v>
      </c>
      <c r="I26" s="24" t="s">
        <v>96</v>
      </c>
      <c r="J26" s="23" t="s">
        <v>985</v>
      </c>
      <c r="K26" s="25" t="s">
        <v>988</v>
      </c>
      <c r="L26" s="23" t="s">
        <v>989</v>
      </c>
      <c r="M26" s="23" t="s">
        <v>885</v>
      </c>
      <c r="N26" s="23" t="s">
        <v>896</v>
      </c>
      <c r="O26" s="23">
        <v>15000</v>
      </c>
      <c r="P26" s="29" t="s">
        <v>879</v>
      </c>
      <c r="Q26" s="23" t="s">
        <v>990</v>
      </c>
      <c r="R26" s="23"/>
      <c r="S26" s="23" t="s">
        <v>931</v>
      </c>
    </row>
    <row r="27" spans="1:19" ht="28.8" x14ac:dyDescent="0.3">
      <c r="A27" s="23" t="s">
        <v>991</v>
      </c>
      <c r="B27" s="23" t="s">
        <v>112</v>
      </c>
      <c r="C27" s="23" t="s">
        <v>80</v>
      </c>
      <c r="D27" s="23" t="s">
        <v>952</v>
      </c>
      <c r="E27" s="23" t="s">
        <v>115</v>
      </c>
      <c r="F27" s="23" t="s">
        <v>117</v>
      </c>
      <c r="G27" s="23" t="s">
        <v>88</v>
      </c>
      <c r="H27" s="24" t="s">
        <v>97</v>
      </c>
      <c r="I27" s="24" t="s">
        <v>96</v>
      </c>
      <c r="J27" s="23" t="s">
        <v>989</v>
      </c>
      <c r="K27" s="25" t="s">
        <v>989</v>
      </c>
      <c r="L27" s="23" t="s">
        <v>992</v>
      </c>
      <c r="M27" s="23" t="s">
        <v>890</v>
      </c>
      <c r="N27" s="23" t="s">
        <v>168</v>
      </c>
      <c r="O27" s="23">
        <v>20000</v>
      </c>
      <c r="P27" s="29" t="s">
        <v>879</v>
      </c>
      <c r="Q27" s="23" t="s">
        <v>993</v>
      </c>
      <c r="R27" s="23"/>
      <c r="S27" s="23" t="s">
        <v>939</v>
      </c>
    </row>
    <row r="28" spans="1:19" ht="28.8" x14ac:dyDescent="0.3">
      <c r="A28" s="23" t="s">
        <v>994</v>
      </c>
      <c r="B28" s="23" t="s">
        <v>112</v>
      </c>
      <c r="C28" s="23" t="s">
        <v>80</v>
      </c>
      <c r="D28" s="23" t="s">
        <v>952</v>
      </c>
      <c r="E28" s="23" t="s">
        <v>115</v>
      </c>
      <c r="F28" s="23" t="s">
        <v>117</v>
      </c>
      <c r="G28" s="23" t="s">
        <v>88</v>
      </c>
      <c r="H28" s="24" t="s">
        <v>97</v>
      </c>
      <c r="I28" s="24" t="s">
        <v>96</v>
      </c>
      <c r="J28" s="23" t="s">
        <v>992</v>
      </c>
      <c r="K28" s="25" t="s">
        <v>995</v>
      </c>
      <c r="L28" s="23" t="s">
        <v>996</v>
      </c>
      <c r="M28" s="23" t="s">
        <v>890</v>
      </c>
      <c r="N28" s="23" t="s">
        <v>131</v>
      </c>
      <c r="O28" s="23">
        <v>15000</v>
      </c>
      <c r="P28" s="29" t="s">
        <v>879</v>
      </c>
      <c r="Q28" s="23" t="s">
        <v>997</v>
      </c>
      <c r="R28" s="23"/>
      <c r="S28" s="23" t="s">
        <v>926</v>
      </c>
    </row>
    <row r="29" spans="1:19" ht="28.8" x14ac:dyDescent="0.3">
      <c r="A29" s="23" t="s">
        <v>998</v>
      </c>
      <c r="B29" s="23" t="s">
        <v>112</v>
      </c>
      <c r="C29" s="23" t="s">
        <v>80</v>
      </c>
      <c r="D29" s="23" t="s">
        <v>952</v>
      </c>
      <c r="E29" s="23" t="s">
        <v>115</v>
      </c>
      <c r="F29" s="23" t="s">
        <v>117</v>
      </c>
      <c r="G29" s="23" t="s">
        <v>88</v>
      </c>
      <c r="H29" s="24" t="s">
        <v>97</v>
      </c>
      <c r="I29" s="24" t="s">
        <v>96</v>
      </c>
      <c r="J29" s="23" t="s">
        <v>996</v>
      </c>
      <c r="K29" s="25" t="s">
        <v>999</v>
      </c>
      <c r="L29" s="23" t="s">
        <v>1000</v>
      </c>
      <c r="M29" s="23" t="s">
        <v>902</v>
      </c>
      <c r="N29" s="23" t="s">
        <v>896</v>
      </c>
      <c r="O29" s="23">
        <v>20000</v>
      </c>
      <c r="P29" s="29" t="s">
        <v>879</v>
      </c>
      <c r="Q29" s="23" t="s">
        <v>1001</v>
      </c>
      <c r="R29" s="23"/>
      <c r="S29" s="23" t="s">
        <v>939</v>
      </c>
    </row>
    <row r="30" spans="1:19" ht="28.8" x14ac:dyDescent="0.3">
      <c r="A30" s="23" t="s">
        <v>1002</v>
      </c>
      <c r="B30" s="23" t="s">
        <v>112</v>
      </c>
      <c r="C30" s="23" t="s">
        <v>80</v>
      </c>
      <c r="D30" s="23" t="s">
        <v>952</v>
      </c>
      <c r="E30" s="23" t="s">
        <v>115</v>
      </c>
      <c r="F30" s="23" t="s">
        <v>117</v>
      </c>
      <c r="G30" s="23" t="s">
        <v>88</v>
      </c>
      <c r="H30" s="24" t="s">
        <v>97</v>
      </c>
      <c r="I30" s="24" t="s">
        <v>96</v>
      </c>
      <c r="J30" s="23" t="s">
        <v>1000</v>
      </c>
      <c r="K30" s="25" t="s">
        <v>1003</v>
      </c>
      <c r="L30" s="23" t="s">
        <v>1004</v>
      </c>
      <c r="M30" s="23" t="s">
        <v>902</v>
      </c>
      <c r="N30" s="23" t="s">
        <v>896</v>
      </c>
      <c r="O30" s="23">
        <v>20000</v>
      </c>
      <c r="P30" s="29" t="s">
        <v>879</v>
      </c>
      <c r="Q30" s="23" t="s">
        <v>1005</v>
      </c>
      <c r="R30" s="23"/>
      <c r="S30" s="23" t="s">
        <v>931</v>
      </c>
    </row>
    <row r="31" spans="1:19" ht="28.8" x14ac:dyDescent="0.3">
      <c r="A31" s="23" t="s">
        <v>1006</v>
      </c>
      <c r="B31" s="23" t="s">
        <v>112</v>
      </c>
      <c r="C31" s="23" t="s">
        <v>80</v>
      </c>
      <c r="D31" s="23" t="s">
        <v>952</v>
      </c>
      <c r="E31" s="23" t="s">
        <v>115</v>
      </c>
      <c r="F31" s="23" t="s">
        <v>117</v>
      </c>
      <c r="G31" s="23" t="s">
        <v>88</v>
      </c>
      <c r="H31" s="24" t="s">
        <v>97</v>
      </c>
      <c r="I31" s="24" t="s">
        <v>96</v>
      </c>
      <c r="J31" s="23" t="s">
        <v>1004</v>
      </c>
      <c r="K31" s="25" t="s">
        <v>1007</v>
      </c>
      <c r="L31" s="23" t="s">
        <v>1008</v>
      </c>
      <c r="M31" s="23" t="s">
        <v>878</v>
      </c>
      <c r="N31" s="23" t="s">
        <v>168</v>
      </c>
      <c r="O31" s="23">
        <v>30000</v>
      </c>
      <c r="P31" s="29" t="s">
        <v>879</v>
      </c>
      <c r="Q31" s="23" t="s">
        <v>1009</v>
      </c>
      <c r="R31" s="23"/>
      <c r="S31" s="23" t="s">
        <v>898</v>
      </c>
    </row>
    <row r="32" spans="1:19" ht="28.8" x14ac:dyDescent="0.3">
      <c r="A32" s="23" t="s">
        <v>1010</v>
      </c>
      <c r="B32" s="23" t="s">
        <v>112</v>
      </c>
      <c r="C32" s="23" t="s">
        <v>80</v>
      </c>
      <c r="D32" s="23" t="s">
        <v>952</v>
      </c>
      <c r="E32" s="23" t="s">
        <v>115</v>
      </c>
      <c r="F32" s="23" t="s">
        <v>117</v>
      </c>
      <c r="G32" s="23" t="s">
        <v>88</v>
      </c>
      <c r="H32" s="24" t="s">
        <v>97</v>
      </c>
      <c r="I32" s="24" t="s">
        <v>96</v>
      </c>
      <c r="J32" s="23" t="s">
        <v>1011</v>
      </c>
      <c r="K32" s="25" t="s">
        <v>1012</v>
      </c>
      <c r="L32" s="23" t="s">
        <v>1013</v>
      </c>
      <c r="M32" s="23" t="s">
        <v>902</v>
      </c>
      <c r="N32" s="23" t="s">
        <v>896</v>
      </c>
      <c r="O32" s="23">
        <v>25000</v>
      </c>
      <c r="P32" s="29" t="s">
        <v>879</v>
      </c>
      <c r="Q32" s="23" t="s">
        <v>1014</v>
      </c>
      <c r="R32" s="23"/>
      <c r="S32" s="23" t="s">
        <v>939</v>
      </c>
    </row>
    <row r="33" spans="1:19" ht="28.8" x14ac:dyDescent="0.3">
      <c r="A33" s="23" t="s">
        <v>1015</v>
      </c>
      <c r="B33" s="23" t="s">
        <v>112</v>
      </c>
      <c r="C33" s="23" t="s">
        <v>80</v>
      </c>
      <c r="D33" s="23" t="s">
        <v>952</v>
      </c>
      <c r="E33" s="23" t="s">
        <v>115</v>
      </c>
      <c r="F33" s="23" t="s">
        <v>117</v>
      </c>
      <c r="G33" s="23" t="s">
        <v>88</v>
      </c>
      <c r="H33" s="24" t="s">
        <v>97</v>
      </c>
      <c r="I33" s="24" t="s">
        <v>96</v>
      </c>
      <c r="J33" s="23" t="s">
        <v>1013</v>
      </c>
      <c r="K33" s="25" t="s">
        <v>1016</v>
      </c>
      <c r="L33" s="23" t="s">
        <v>1017</v>
      </c>
      <c r="M33" s="23" t="s">
        <v>902</v>
      </c>
      <c r="N33" s="23" t="s">
        <v>168</v>
      </c>
      <c r="O33" s="23">
        <v>15000</v>
      </c>
      <c r="P33" s="29" t="s">
        <v>879</v>
      </c>
      <c r="Q33" s="23" t="s">
        <v>1018</v>
      </c>
      <c r="R33" s="23"/>
      <c r="S33" s="23" t="s">
        <v>881</v>
      </c>
    </row>
    <row r="34" spans="1:19" ht="28.8" x14ac:dyDescent="0.3">
      <c r="A34" s="23" t="s">
        <v>1019</v>
      </c>
      <c r="B34" s="23" t="s">
        <v>112</v>
      </c>
      <c r="C34" s="23" t="s">
        <v>80</v>
      </c>
      <c r="D34" s="23" t="s">
        <v>952</v>
      </c>
      <c r="E34" s="23" t="s">
        <v>115</v>
      </c>
      <c r="F34" s="23" t="s">
        <v>117</v>
      </c>
      <c r="G34" s="23" t="s">
        <v>88</v>
      </c>
      <c r="H34" s="24" t="s">
        <v>97</v>
      </c>
      <c r="I34" s="24" t="s">
        <v>96</v>
      </c>
      <c r="J34" s="23" t="s">
        <v>1017</v>
      </c>
      <c r="K34" s="25" t="s">
        <v>1020</v>
      </c>
      <c r="L34" s="23" t="s">
        <v>1021</v>
      </c>
      <c r="M34" s="23" t="s">
        <v>890</v>
      </c>
      <c r="N34" s="23" t="s">
        <v>168</v>
      </c>
      <c r="O34" s="23">
        <v>15000</v>
      </c>
      <c r="P34" s="29" t="s">
        <v>879</v>
      </c>
      <c r="Q34" s="23" t="s">
        <v>1022</v>
      </c>
      <c r="R34" s="23"/>
      <c r="S34" s="23" t="s">
        <v>904</v>
      </c>
    </row>
    <row r="35" spans="1:19" ht="28.8" x14ac:dyDescent="0.3">
      <c r="A35" s="23" t="s">
        <v>1023</v>
      </c>
      <c r="B35" s="23" t="s">
        <v>112</v>
      </c>
      <c r="C35" s="23" t="s">
        <v>80</v>
      </c>
      <c r="D35" s="23" t="s">
        <v>952</v>
      </c>
      <c r="E35" s="23" t="s">
        <v>115</v>
      </c>
      <c r="F35" s="23" t="s">
        <v>117</v>
      </c>
      <c r="G35" s="23" t="s">
        <v>88</v>
      </c>
      <c r="H35" s="24" t="s">
        <v>97</v>
      </c>
      <c r="I35" s="24" t="s">
        <v>96</v>
      </c>
      <c r="J35" s="23" t="s">
        <v>1021</v>
      </c>
      <c r="K35" s="25" t="s">
        <v>1024</v>
      </c>
      <c r="L35" s="23" t="s">
        <v>1025</v>
      </c>
      <c r="M35" s="23" t="s">
        <v>878</v>
      </c>
      <c r="N35" s="23" t="s">
        <v>219</v>
      </c>
      <c r="O35" s="23">
        <v>20000</v>
      </c>
      <c r="P35" s="29" t="s">
        <v>879</v>
      </c>
      <c r="Q35" s="23" t="s">
        <v>1026</v>
      </c>
      <c r="R35" s="23"/>
      <c r="S35" s="23" t="s">
        <v>898</v>
      </c>
    </row>
    <row r="36" spans="1:19" ht="28.8" x14ac:dyDescent="0.3">
      <c r="A36" s="23" t="s">
        <v>1027</v>
      </c>
      <c r="B36" s="23" t="s">
        <v>112</v>
      </c>
      <c r="C36" s="23" t="s">
        <v>80</v>
      </c>
      <c r="D36" s="23" t="s">
        <v>952</v>
      </c>
      <c r="E36" s="23" t="s">
        <v>115</v>
      </c>
      <c r="F36" s="23" t="s">
        <v>117</v>
      </c>
      <c r="G36" s="23" t="s">
        <v>88</v>
      </c>
      <c r="H36" s="24" t="s">
        <v>97</v>
      </c>
      <c r="I36" s="24" t="s">
        <v>96</v>
      </c>
      <c r="J36" s="23" t="s">
        <v>1025</v>
      </c>
      <c r="K36" s="25" t="s">
        <v>1028</v>
      </c>
      <c r="L36" s="23" t="s">
        <v>1029</v>
      </c>
      <c r="M36" s="23" t="s">
        <v>902</v>
      </c>
      <c r="N36" s="23" t="s">
        <v>131</v>
      </c>
      <c r="O36" s="23">
        <v>15000</v>
      </c>
      <c r="P36" s="29" t="s">
        <v>879</v>
      </c>
      <c r="Q36" s="23" t="s">
        <v>1030</v>
      </c>
      <c r="R36" s="23"/>
      <c r="S36" s="23" t="s">
        <v>881</v>
      </c>
    </row>
    <row r="37" spans="1:19" ht="28.8" x14ac:dyDescent="0.3">
      <c r="A37" s="23" t="s">
        <v>1031</v>
      </c>
      <c r="B37" s="23" t="s">
        <v>112</v>
      </c>
      <c r="C37" s="23" t="s">
        <v>80</v>
      </c>
      <c r="D37" s="23" t="s">
        <v>952</v>
      </c>
      <c r="E37" s="23" t="s">
        <v>115</v>
      </c>
      <c r="F37" s="23" t="s">
        <v>117</v>
      </c>
      <c r="G37" s="23" t="s">
        <v>88</v>
      </c>
      <c r="H37" s="24" t="s">
        <v>97</v>
      </c>
      <c r="I37" s="24" t="s">
        <v>96</v>
      </c>
      <c r="J37" s="23" t="s">
        <v>1029</v>
      </c>
      <c r="K37" s="25" t="s">
        <v>1029</v>
      </c>
      <c r="L37" s="23" t="s">
        <v>1032</v>
      </c>
      <c r="M37" s="23" t="s">
        <v>878</v>
      </c>
      <c r="N37" s="23" t="s">
        <v>896</v>
      </c>
      <c r="O37" s="23">
        <v>15000</v>
      </c>
      <c r="P37" s="29" t="s">
        <v>879</v>
      </c>
      <c r="Q37" s="23" t="s">
        <v>1033</v>
      </c>
      <c r="R37" s="23"/>
      <c r="S37" s="23" t="s">
        <v>892</v>
      </c>
    </row>
    <row r="38" spans="1:19" ht="28.8" x14ac:dyDescent="0.3">
      <c r="A38" s="23" t="s">
        <v>1034</v>
      </c>
      <c r="B38" s="23" t="s">
        <v>112</v>
      </c>
      <c r="C38" s="23" t="s">
        <v>80</v>
      </c>
      <c r="D38" s="23" t="s">
        <v>952</v>
      </c>
      <c r="E38" s="23" t="s">
        <v>115</v>
      </c>
      <c r="F38" s="23" t="s">
        <v>117</v>
      </c>
      <c r="G38" s="23" t="s">
        <v>88</v>
      </c>
      <c r="H38" s="24" t="s">
        <v>97</v>
      </c>
      <c r="I38" s="24" t="s">
        <v>96</v>
      </c>
      <c r="J38" s="23" t="s">
        <v>1032</v>
      </c>
      <c r="K38" s="25" t="s">
        <v>1035</v>
      </c>
      <c r="L38" s="23" t="s">
        <v>1036</v>
      </c>
      <c r="M38" s="23" t="s">
        <v>878</v>
      </c>
      <c r="N38" s="23" t="s">
        <v>168</v>
      </c>
      <c r="O38" s="23">
        <v>15000</v>
      </c>
      <c r="P38" s="29" t="s">
        <v>879</v>
      </c>
      <c r="Q38" s="23" t="s">
        <v>1037</v>
      </c>
      <c r="R38" s="23"/>
      <c r="S38" s="23" t="s">
        <v>881</v>
      </c>
    </row>
    <row r="39" spans="1:19" ht="28.8" x14ac:dyDescent="0.3">
      <c r="A39" s="23" t="s">
        <v>1038</v>
      </c>
      <c r="B39" s="23" t="s">
        <v>112</v>
      </c>
      <c r="C39" s="23" t="s">
        <v>80</v>
      </c>
      <c r="D39" s="23" t="s">
        <v>952</v>
      </c>
      <c r="E39" s="23" t="s">
        <v>115</v>
      </c>
      <c r="F39" s="23" t="s">
        <v>117</v>
      </c>
      <c r="G39" s="23" t="s">
        <v>88</v>
      </c>
      <c r="H39" s="24" t="s">
        <v>97</v>
      </c>
      <c r="I39" s="24" t="s">
        <v>96</v>
      </c>
      <c r="J39" s="23" t="s">
        <v>1036</v>
      </c>
      <c r="K39" s="25" t="s">
        <v>1039</v>
      </c>
      <c r="L39" s="23" t="s">
        <v>1040</v>
      </c>
      <c r="M39" s="23" t="s">
        <v>902</v>
      </c>
      <c r="N39" s="23" t="s">
        <v>168</v>
      </c>
      <c r="O39" s="23">
        <v>20000</v>
      </c>
      <c r="P39" s="29" t="s">
        <v>879</v>
      </c>
      <c r="Q39" s="23" t="s">
        <v>1041</v>
      </c>
      <c r="R39" s="23"/>
      <c r="S39" s="23" t="s">
        <v>887</v>
      </c>
    </row>
    <row r="40" spans="1:19" ht="28.8" x14ac:dyDescent="0.3">
      <c r="A40" s="23" t="s">
        <v>1042</v>
      </c>
      <c r="B40" s="23" t="s">
        <v>112</v>
      </c>
      <c r="C40" s="23" t="s">
        <v>80</v>
      </c>
      <c r="D40" s="23" t="s">
        <v>952</v>
      </c>
      <c r="E40" s="23" t="s">
        <v>115</v>
      </c>
      <c r="F40" s="23" t="s">
        <v>117</v>
      </c>
      <c r="G40" s="23" t="s">
        <v>88</v>
      </c>
      <c r="H40" s="24" t="s">
        <v>97</v>
      </c>
      <c r="I40" s="24" t="s">
        <v>96</v>
      </c>
      <c r="J40" s="23" t="s">
        <v>1040</v>
      </c>
      <c r="K40" s="25" t="s">
        <v>1043</v>
      </c>
      <c r="L40" s="23" t="s">
        <v>1044</v>
      </c>
      <c r="M40" s="23" t="s">
        <v>878</v>
      </c>
      <c r="N40" s="23" t="s">
        <v>896</v>
      </c>
      <c r="O40" s="23">
        <v>30000</v>
      </c>
      <c r="P40" s="29" t="s">
        <v>879</v>
      </c>
      <c r="Q40" s="23" t="s">
        <v>1045</v>
      </c>
      <c r="R40" s="23"/>
      <c r="S40" s="23" t="s">
        <v>881</v>
      </c>
    </row>
    <row r="41" spans="1:19" ht="28.8" x14ac:dyDescent="0.3">
      <c r="A41" s="23" t="s">
        <v>1046</v>
      </c>
      <c r="B41" s="23" t="s">
        <v>112</v>
      </c>
      <c r="C41" s="23" t="s">
        <v>80</v>
      </c>
      <c r="D41" s="23" t="s">
        <v>952</v>
      </c>
      <c r="E41" s="23" t="s">
        <v>115</v>
      </c>
      <c r="F41" s="23" t="s">
        <v>117</v>
      </c>
      <c r="G41" s="23" t="s">
        <v>88</v>
      </c>
      <c r="H41" s="24" t="s">
        <v>97</v>
      </c>
      <c r="I41" s="24" t="s">
        <v>96</v>
      </c>
      <c r="J41" s="23" t="s">
        <v>1044</v>
      </c>
      <c r="K41" s="25" t="s">
        <v>1047</v>
      </c>
      <c r="L41" s="23" t="s">
        <v>1048</v>
      </c>
      <c r="M41" s="23" t="s">
        <v>902</v>
      </c>
      <c r="N41" s="23" t="s">
        <v>131</v>
      </c>
      <c r="O41" s="23">
        <v>25000</v>
      </c>
      <c r="P41" s="29" t="s">
        <v>879</v>
      </c>
      <c r="Q41" s="23" t="s">
        <v>1049</v>
      </c>
      <c r="R41" s="23"/>
      <c r="S41" s="23" t="s">
        <v>898</v>
      </c>
    </row>
    <row r="42" spans="1:19" ht="28.8" x14ac:dyDescent="0.3">
      <c r="A42" s="23" t="s">
        <v>1050</v>
      </c>
      <c r="B42" s="23" t="s">
        <v>112</v>
      </c>
      <c r="C42" s="23" t="s">
        <v>80</v>
      </c>
      <c r="D42" s="23" t="s">
        <v>952</v>
      </c>
      <c r="E42" s="23" t="s">
        <v>115</v>
      </c>
      <c r="F42" s="23" t="s">
        <v>117</v>
      </c>
      <c r="G42" s="23" t="s">
        <v>88</v>
      </c>
      <c r="H42" s="24" t="s">
        <v>97</v>
      </c>
      <c r="I42" s="24" t="s">
        <v>96</v>
      </c>
      <c r="J42" s="23" t="s">
        <v>1048</v>
      </c>
      <c r="K42" s="25" t="s">
        <v>1051</v>
      </c>
      <c r="L42" s="23" t="s">
        <v>1052</v>
      </c>
      <c r="M42" s="23" t="s">
        <v>902</v>
      </c>
      <c r="N42" s="23" t="s">
        <v>131</v>
      </c>
      <c r="O42" s="23">
        <v>15000</v>
      </c>
      <c r="P42" s="29" t="s">
        <v>879</v>
      </c>
      <c r="Q42" s="23" t="s">
        <v>1053</v>
      </c>
      <c r="R42" s="23"/>
      <c r="S42" s="23" t="s">
        <v>926</v>
      </c>
    </row>
    <row r="43" spans="1:19" ht="28.8" x14ac:dyDescent="0.3">
      <c r="A43" s="23" t="s">
        <v>1054</v>
      </c>
      <c r="B43" s="23" t="s">
        <v>112</v>
      </c>
      <c r="C43" s="23" t="s">
        <v>80</v>
      </c>
      <c r="D43" s="23" t="s">
        <v>952</v>
      </c>
      <c r="E43" s="23" t="s">
        <v>115</v>
      </c>
      <c r="F43" s="23" t="s">
        <v>117</v>
      </c>
      <c r="G43" s="23" t="s">
        <v>88</v>
      </c>
      <c r="H43" s="24" t="s">
        <v>97</v>
      </c>
      <c r="I43" s="24" t="s">
        <v>96</v>
      </c>
      <c r="J43" s="23" t="s">
        <v>1052</v>
      </c>
      <c r="K43" s="25" t="s">
        <v>1055</v>
      </c>
      <c r="L43" s="23" t="s">
        <v>1056</v>
      </c>
      <c r="M43" s="23" t="s">
        <v>885</v>
      </c>
      <c r="N43" s="23" t="s">
        <v>896</v>
      </c>
      <c r="O43" s="23">
        <v>20000</v>
      </c>
      <c r="P43" s="29" t="s">
        <v>879</v>
      </c>
      <c r="Q43" s="23" t="s">
        <v>1057</v>
      </c>
      <c r="R43" s="23"/>
      <c r="S43" s="23" t="s">
        <v>904</v>
      </c>
    </row>
    <row r="44" spans="1:19" ht="28.8" x14ac:dyDescent="0.3">
      <c r="A44" s="23" t="s">
        <v>1058</v>
      </c>
      <c r="B44" s="23" t="s">
        <v>112</v>
      </c>
      <c r="C44" s="23" t="s">
        <v>80</v>
      </c>
      <c r="D44" s="23" t="s">
        <v>952</v>
      </c>
      <c r="E44" s="23" t="s">
        <v>115</v>
      </c>
      <c r="F44" s="23" t="s">
        <v>117</v>
      </c>
      <c r="G44" s="23" t="s">
        <v>88</v>
      </c>
      <c r="H44" s="24" t="s">
        <v>97</v>
      </c>
      <c r="I44" s="24" t="s">
        <v>96</v>
      </c>
      <c r="J44" s="23" t="s">
        <v>1059</v>
      </c>
      <c r="K44" s="25" t="s">
        <v>1059</v>
      </c>
      <c r="L44" s="23" t="s">
        <v>301</v>
      </c>
      <c r="M44" s="23" t="s">
        <v>878</v>
      </c>
      <c r="N44" s="23" t="s">
        <v>896</v>
      </c>
      <c r="O44" s="23">
        <v>20000</v>
      </c>
      <c r="P44" s="29" t="s">
        <v>879</v>
      </c>
      <c r="Q44" s="23" t="s">
        <v>1060</v>
      </c>
      <c r="R44" s="23"/>
      <c r="S44" s="23" t="s">
        <v>904</v>
      </c>
    </row>
    <row r="45" spans="1:19" ht="28.8" x14ac:dyDescent="0.3">
      <c r="A45" s="23" t="s">
        <v>1061</v>
      </c>
      <c r="B45" s="23" t="s">
        <v>112</v>
      </c>
      <c r="C45" s="23" t="s">
        <v>80</v>
      </c>
      <c r="D45" s="23" t="s">
        <v>952</v>
      </c>
      <c r="E45" s="23" t="s">
        <v>115</v>
      </c>
      <c r="F45" s="23" t="s">
        <v>117</v>
      </c>
      <c r="G45" s="23" t="s">
        <v>88</v>
      </c>
      <c r="H45" s="24" t="s">
        <v>97</v>
      </c>
      <c r="I45" s="24" t="s">
        <v>96</v>
      </c>
      <c r="J45" s="23" t="s">
        <v>301</v>
      </c>
      <c r="K45" s="25" t="s">
        <v>122</v>
      </c>
      <c r="L45" s="23" t="s">
        <v>511</v>
      </c>
      <c r="M45" s="23" t="s">
        <v>890</v>
      </c>
      <c r="N45" s="23" t="s">
        <v>896</v>
      </c>
      <c r="O45" s="23">
        <v>20000</v>
      </c>
      <c r="P45" s="29" t="s">
        <v>879</v>
      </c>
      <c r="Q45" s="23" t="s">
        <v>1062</v>
      </c>
      <c r="R45" s="23" t="s">
        <v>1063</v>
      </c>
      <c r="S45" s="23" t="s">
        <v>931</v>
      </c>
    </row>
    <row r="46" spans="1:19" ht="28.8" x14ac:dyDescent="0.3">
      <c r="A46" s="23" t="s">
        <v>1064</v>
      </c>
      <c r="B46" s="23" t="s">
        <v>112</v>
      </c>
      <c r="C46" s="23" t="s">
        <v>80</v>
      </c>
      <c r="D46" s="23" t="s">
        <v>952</v>
      </c>
      <c r="E46" s="23" t="s">
        <v>115</v>
      </c>
      <c r="F46" s="23" t="s">
        <v>117</v>
      </c>
      <c r="G46" s="23" t="s">
        <v>88</v>
      </c>
      <c r="H46" s="24" t="s">
        <v>97</v>
      </c>
      <c r="I46" s="24" t="s">
        <v>96</v>
      </c>
      <c r="J46" s="23" t="s">
        <v>123</v>
      </c>
      <c r="K46" s="25"/>
      <c r="L46" s="23" t="s">
        <v>106</v>
      </c>
      <c r="M46" s="23" t="s">
        <v>890</v>
      </c>
      <c r="N46" s="23" t="s">
        <v>920</v>
      </c>
      <c r="O46" s="23">
        <v>0</v>
      </c>
      <c r="P46" s="30" t="s">
        <v>948</v>
      </c>
      <c r="Q46" s="23" t="s">
        <v>1065</v>
      </c>
      <c r="R46" s="23"/>
      <c r="S46" s="23" t="s">
        <v>1066</v>
      </c>
    </row>
    <row r="47" spans="1:19" ht="28.8" x14ac:dyDescent="0.3">
      <c r="A47" s="23" t="s">
        <v>1067</v>
      </c>
      <c r="B47" s="23" t="s">
        <v>132</v>
      </c>
      <c r="C47" s="23" t="s">
        <v>80</v>
      </c>
      <c r="D47" s="23" t="s">
        <v>952</v>
      </c>
      <c r="E47" s="23" t="s">
        <v>133</v>
      </c>
      <c r="F47" s="23" t="s">
        <v>135</v>
      </c>
      <c r="G47" s="23" t="s">
        <v>88</v>
      </c>
      <c r="H47" s="24" t="s">
        <v>97</v>
      </c>
      <c r="I47" s="24" t="s">
        <v>96</v>
      </c>
      <c r="J47" s="23" t="s">
        <v>1068</v>
      </c>
      <c r="K47" s="25" t="s">
        <v>1068</v>
      </c>
      <c r="L47" s="23" t="s">
        <v>1069</v>
      </c>
      <c r="M47" s="23" t="s">
        <v>885</v>
      </c>
      <c r="N47" s="23" t="s">
        <v>896</v>
      </c>
      <c r="O47" s="23">
        <v>20000</v>
      </c>
      <c r="P47" s="29" t="s">
        <v>879</v>
      </c>
      <c r="Q47" s="23" t="s">
        <v>1070</v>
      </c>
      <c r="R47" s="23"/>
      <c r="S47" s="23" t="s">
        <v>904</v>
      </c>
    </row>
    <row r="48" spans="1:19" ht="28.8" x14ac:dyDescent="0.3">
      <c r="A48" s="23" t="s">
        <v>1071</v>
      </c>
      <c r="B48" s="23" t="s">
        <v>132</v>
      </c>
      <c r="C48" s="23" t="s">
        <v>80</v>
      </c>
      <c r="D48" s="23" t="s">
        <v>952</v>
      </c>
      <c r="E48" s="23" t="s">
        <v>133</v>
      </c>
      <c r="F48" s="23" t="s">
        <v>135</v>
      </c>
      <c r="G48" s="23" t="s">
        <v>88</v>
      </c>
      <c r="H48" s="24" t="s">
        <v>97</v>
      </c>
      <c r="I48" s="24" t="s">
        <v>96</v>
      </c>
      <c r="J48" s="23" t="s">
        <v>1069</v>
      </c>
      <c r="K48" s="25" t="s">
        <v>1069</v>
      </c>
      <c r="L48" s="23" t="s">
        <v>1072</v>
      </c>
      <c r="M48" s="23" t="s">
        <v>890</v>
      </c>
      <c r="N48" s="23" t="s">
        <v>111</v>
      </c>
      <c r="O48" s="23">
        <v>15000</v>
      </c>
      <c r="P48" s="29" t="s">
        <v>879</v>
      </c>
      <c r="Q48" s="23" t="s">
        <v>1073</v>
      </c>
      <c r="R48" s="23"/>
      <c r="S48" s="23" t="s">
        <v>904</v>
      </c>
    </row>
    <row r="49" spans="1:19" ht="28.8" x14ac:dyDescent="0.3">
      <c r="A49" s="23" t="s">
        <v>1074</v>
      </c>
      <c r="B49" s="23" t="s">
        <v>132</v>
      </c>
      <c r="C49" s="23" t="s">
        <v>80</v>
      </c>
      <c r="D49" s="23" t="s">
        <v>952</v>
      </c>
      <c r="E49" s="23" t="s">
        <v>133</v>
      </c>
      <c r="F49" s="23" t="s">
        <v>135</v>
      </c>
      <c r="G49" s="23" t="s">
        <v>88</v>
      </c>
      <c r="H49" s="24" t="s">
        <v>97</v>
      </c>
      <c r="I49" s="24" t="s">
        <v>96</v>
      </c>
      <c r="J49" s="23" t="s">
        <v>1075</v>
      </c>
      <c r="K49" s="25" t="s">
        <v>1076</v>
      </c>
      <c r="L49" s="23" t="s">
        <v>1077</v>
      </c>
      <c r="M49" s="23" t="s">
        <v>885</v>
      </c>
      <c r="N49" s="23" t="s">
        <v>219</v>
      </c>
      <c r="O49" s="23">
        <v>25000</v>
      </c>
      <c r="P49" s="29" t="s">
        <v>879</v>
      </c>
      <c r="Q49" s="23" t="s">
        <v>1078</v>
      </c>
      <c r="R49" s="23"/>
      <c r="S49" s="23" t="s">
        <v>892</v>
      </c>
    </row>
    <row r="50" spans="1:19" ht="28.8" x14ac:dyDescent="0.3">
      <c r="A50" s="23" t="s">
        <v>1079</v>
      </c>
      <c r="B50" s="23" t="s">
        <v>132</v>
      </c>
      <c r="C50" s="23" t="s">
        <v>80</v>
      </c>
      <c r="D50" s="23" t="s">
        <v>952</v>
      </c>
      <c r="E50" s="23" t="s">
        <v>133</v>
      </c>
      <c r="F50" s="23" t="s">
        <v>135</v>
      </c>
      <c r="G50" s="23" t="s">
        <v>88</v>
      </c>
      <c r="H50" s="24" t="s">
        <v>97</v>
      </c>
      <c r="I50" s="24" t="s">
        <v>96</v>
      </c>
      <c r="J50" s="23" t="s">
        <v>1077</v>
      </c>
      <c r="K50" s="25" t="s">
        <v>1080</v>
      </c>
      <c r="L50" s="23" t="s">
        <v>1081</v>
      </c>
      <c r="M50" s="23" t="s">
        <v>885</v>
      </c>
      <c r="N50" s="23" t="s">
        <v>131</v>
      </c>
      <c r="O50" s="23">
        <v>25000</v>
      </c>
      <c r="P50" s="29" t="s">
        <v>879</v>
      </c>
      <c r="Q50" s="23" t="s">
        <v>1082</v>
      </c>
      <c r="R50" s="23"/>
      <c r="S50" s="23" t="s">
        <v>881</v>
      </c>
    </row>
    <row r="51" spans="1:19" ht="28.8" x14ac:dyDescent="0.3">
      <c r="A51" s="23" t="s">
        <v>1083</v>
      </c>
      <c r="B51" s="23" t="s">
        <v>132</v>
      </c>
      <c r="C51" s="23" t="s">
        <v>80</v>
      </c>
      <c r="D51" s="23" t="s">
        <v>952</v>
      </c>
      <c r="E51" s="23" t="s">
        <v>133</v>
      </c>
      <c r="F51" s="23" t="s">
        <v>135</v>
      </c>
      <c r="G51" s="23" t="s">
        <v>88</v>
      </c>
      <c r="H51" s="24" t="s">
        <v>97</v>
      </c>
      <c r="I51" s="24" t="s">
        <v>96</v>
      </c>
      <c r="J51" s="23" t="s">
        <v>1081</v>
      </c>
      <c r="K51" s="25" t="s">
        <v>1084</v>
      </c>
      <c r="L51" s="23" t="s">
        <v>1085</v>
      </c>
      <c r="M51" s="23" t="s">
        <v>902</v>
      </c>
      <c r="N51" s="23" t="s">
        <v>111</v>
      </c>
      <c r="O51" s="23">
        <v>30000</v>
      </c>
      <c r="P51" s="29" t="s">
        <v>879</v>
      </c>
      <c r="Q51" s="23" t="s">
        <v>1086</v>
      </c>
      <c r="R51" s="23"/>
      <c r="S51" s="23" t="s">
        <v>887</v>
      </c>
    </row>
    <row r="52" spans="1:19" ht="28.8" x14ac:dyDescent="0.3">
      <c r="A52" s="23" t="s">
        <v>1087</v>
      </c>
      <c r="B52" s="23" t="s">
        <v>132</v>
      </c>
      <c r="C52" s="23" t="s">
        <v>80</v>
      </c>
      <c r="D52" s="23" t="s">
        <v>952</v>
      </c>
      <c r="E52" s="23" t="s">
        <v>133</v>
      </c>
      <c r="F52" s="23" t="s">
        <v>135</v>
      </c>
      <c r="G52" s="23" t="s">
        <v>88</v>
      </c>
      <c r="H52" s="24" t="s">
        <v>97</v>
      </c>
      <c r="I52" s="24" t="s">
        <v>96</v>
      </c>
      <c r="J52" s="23" t="s">
        <v>1088</v>
      </c>
      <c r="K52" s="25" t="s">
        <v>1089</v>
      </c>
      <c r="L52" s="23" t="s">
        <v>1090</v>
      </c>
      <c r="M52" s="23" t="s">
        <v>902</v>
      </c>
      <c r="N52" s="23" t="s">
        <v>929</v>
      </c>
      <c r="O52" s="23">
        <v>25000</v>
      </c>
      <c r="P52" s="29" t="s">
        <v>879</v>
      </c>
      <c r="Q52" s="23" t="s">
        <v>1091</v>
      </c>
      <c r="R52" s="23"/>
      <c r="S52" s="23" t="s">
        <v>931</v>
      </c>
    </row>
    <row r="53" spans="1:19" ht="28.8" x14ac:dyDescent="0.3">
      <c r="A53" s="23" t="s">
        <v>1092</v>
      </c>
      <c r="B53" s="23" t="s">
        <v>132</v>
      </c>
      <c r="C53" s="23" t="s">
        <v>80</v>
      </c>
      <c r="D53" s="23" t="s">
        <v>952</v>
      </c>
      <c r="E53" s="23" t="s">
        <v>133</v>
      </c>
      <c r="F53" s="23" t="s">
        <v>135</v>
      </c>
      <c r="G53" s="23" t="s">
        <v>88</v>
      </c>
      <c r="H53" s="24" t="s">
        <v>97</v>
      </c>
      <c r="I53" s="24" t="s">
        <v>96</v>
      </c>
      <c r="J53" s="23" t="s">
        <v>1090</v>
      </c>
      <c r="K53" s="25" t="s">
        <v>1093</v>
      </c>
      <c r="L53" s="23" t="s">
        <v>1094</v>
      </c>
      <c r="M53" s="23" t="s">
        <v>890</v>
      </c>
      <c r="N53" s="23" t="s">
        <v>219</v>
      </c>
      <c r="O53" s="23">
        <v>20000</v>
      </c>
      <c r="P53" s="29" t="s">
        <v>879</v>
      </c>
      <c r="Q53" s="23" t="s">
        <v>1095</v>
      </c>
      <c r="R53" s="23"/>
      <c r="S53" s="23" t="s">
        <v>898</v>
      </c>
    </row>
    <row r="54" spans="1:19" ht="28.8" x14ac:dyDescent="0.3">
      <c r="A54" s="23" t="s">
        <v>1096</v>
      </c>
      <c r="B54" s="23" t="s">
        <v>132</v>
      </c>
      <c r="C54" s="23" t="s">
        <v>80</v>
      </c>
      <c r="D54" s="23" t="s">
        <v>952</v>
      </c>
      <c r="E54" s="23" t="s">
        <v>133</v>
      </c>
      <c r="F54" s="23" t="s">
        <v>135</v>
      </c>
      <c r="G54" s="23" t="s">
        <v>88</v>
      </c>
      <c r="H54" s="24" t="s">
        <v>97</v>
      </c>
      <c r="I54" s="24" t="s">
        <v>96</v>
      </c>
      <c r="J54" s="23" t="s">
        <v>1094</v>
      </c>
      <c r="K54" s="25" t="s">
        <v>726</v>
      </c>
      <c r="L54" s="23" t="s">
        <v>1097</v>
      </c>
      <c r="M54" s="23" t="s">
        <v>902</v>
      </c>
      <c r="N54" s="23" t="s">
        <v>131</v>
      </c>
      <c r="O54" s="23">
        <v>25000</v>
      </c>
      <c r="P54" s="29" t="s">
        <v>879</v>
      </c>
      <c r="Q54" s="23" t="s">
        <v>1098</v>
      </c>
      <c r="R54" s="23"/>
      <c r="S54" s="23" t="s">
        <v>931</v>
      </c>
    </row>
    <row r="55" spans="1:19" ht="28.8" x14ac:dyDescent="0.3">
      <c r="A55" s="23" t="s">
        <v>1099</v>
      </c>
      <c r="B55" s="23" t="s">
        <v>132</v>
      </c>
      <c r="C55" s="23" t="s">
        <v>80</v>
      </c>
      <c r="D55" s="23" t="s">
        <v>952</v>
      </c>
      <c r="E55" s="23" t="s">
        <v>133</v>
      </c>
      <c r="F55" s="23" t="s">
        <v>135</v>
      </c>
      <c r="G55" s="23" t="s">
        <v>88</v>
      </c>
      <c r="H55" s="24" t="s">
        <v>97</v>
      </c>
      <c r="I55" s="24" t="s">
        <v>96</v>
      </c>
      <c r="J55" s="23" t="s">
        <v>1097</v>
      </c>
      <c r="K55" s="25" t="s">
        <v>1100</v>
      </c>
      <c r="L55" s="23" t="s">
        <v>1101</v>
      </c>
      <c r="M55" s="23" t="s">
        <v>885</v>
      </c>
      <c r="N55" s="23" t="s">
        <v>896</v>
      </c>
      <c r="O55" s="23">
        <v>30000</v>
      </c>
      <c r="P55" s="29" t="s">
        <v>879</v>
      </c>
      <c r="Q55" s="23" t="s">
        <v>1102</v>
      </c>
      <c r="R55" s="23"/>
      <c r="S55" s="23" t="s">
        <v>939</v>
      </c>
    </row>
    <row r="56" spans="1:19" ht="28.8" x14ac:dyDescent="0.3">
      <c r="A56" s="23" t="s">
        <v>1103</v>
      </c>
      <c r="B56" s="23" t="s">
        <v>132</v>
      </c>
      <c r="C56" s="23" t="s">
        <v>80</v>
      </c>
      <c r="D56" s="23" t="s">
        <v>952</v>
      </c>
      <c r="E56" s="23" t="s">
        <v>133</v>
      </c>
      <c r="F56" s="23" t="s">
        <v>135</v>
      </c>
      <c r="G56" s="23" t="s">
        <v>88</v>
      </c>
      <c r="H56" s="24" t="s">
        <v>97</v>
      </c>
      <c r="I56" s="24" t="s">
        <v>96</v>
      </c>
      <c r="J56" s="23" t="s">
        <v>1101</v>
      </c>
      <c r="K56" s="25" t="s">
        <v>1104</v>
      </c>
      <c r="L56" s="23" t="s">
        <v>1105</v>
      </c>
      <c r="M56" s="23" t="s">
        <v>902</v>
      </c>
      <c r="N56" s="23" t="s">
        <v>896</v>
      </c>
      <c r="O56" s="23">
        <v>25000</v>
      </c>
      <c r="P56" s="29" t="s">
        <v>879</v>
      </c>
      <c r="Q56" s="23" t="s">
        <v>1106</v>
      </c>
      <c r="R56" s="23"/>
      <c r="S56" s="23" t="s">
        <v>881</v>
      </c>
    </row>
    <row r="57" spans="1:19" ht="28.8" x14ac:dyDescent="0.3">
      <c r="A57" s="23" t="s">
        <v>1107</v>
      </c>
      <c r="B57" s="23" t="s">
        <v>132</v>
      </c>
      <c r="C57" s="23" t="s">
        <v>80</v>
      </c>
      <c r="D57" s="23" t="s">
        <v>952</v>
      </c>
      <c r="E57" s="23" t="s">
        <v>133</v>
      </c>
      <c r="F57" s="23" t="s">
        <v>135</v>
      </c>
      <c r="G57" s="23" t="s">
        <v>88</v>
      </c>
      <c r="H57" s="24" t="s">
        <v>97</v>
      </c>
      <c r="I57" s="24" t="s">
        <v>96</v>
      </c>
      <c r="J57" s="23" t="s">
        <v>1105</v>
      </c>
      <c r="K57" s="25" t="s">
        <v>1105</v>
      </c>
      <c r="L57" s="23" t="s">
        <v>1108</v>
      </c>
      <c r="M57" s="23" t="s">
        <v>878</v>
      </c>
      <c r="N57" s="23" t="s">
        <v>131</v>
      </c>
      <c r="O57" s="23">
        <v>20000</v>
      </c>
      <c r="P57" s="29" t="s">
        <v>879</v>
      </c>
      <c r="Q57" s="23" t="s">
        <v>1109</v>
      </c>
      <c r="R57" s="23" t="s">
        <v>945</v>
      </c>
      <c r="S57" s="23" t="s">
        <v>926</v>
      </c>
    </row>
    <row r="58" spans="1:19" ht="28.8" x14ac:dyDescent="0.3">
      <c r="A58" s="23" t="s">
        <v>1110</v>
      </c>
      <c r="B58" s="23" t="s">
        <v>132</v>
      </c>
      <c r="C58" s="23" t="s">
        <v>80</v>
      </c>
      <c r="D58" s="23" t="s">
        <v>952</v>
      </c>
      <c r="E58" s="23" t="s">
        <v>133</v>
      </c>
      <c r="F58" s="23" t="s">
        <v>135</v>
      </c>
      <c r="G58" s="23" t="s">
        <v>88</v>
      </c>
      <c r="H58" s="24" t="s">
        <v>97</v>
      </c>
      <c r="I58" s="24" t="s">
        <v>96</v>
      </c>
      <c r="J58" s="23" t="s">
        <v>1108</v>
      </c>
      <c r="K58" s="25" t="s">
        <v>1111</v>
      </c>
      <c r="L58" s="23" t="s">
        <v>585</v>
      </c>
      <c r="M58" s="23" t="s">
        <v>902</v>
      </c>
      <c r="N58" s="23" t="s">
        <v>168</v>
      </c>
      <c r="O58" s="23">
        <v>30000</v>
      </c>
      <c r="P58" s="29" t="s">
        <v>879</v>
      </c>
      <c r="Q58" s="23" t="s">
        <v>1112</v>
      </c>
      <c r="R58" s="23"/>
      <c r="S58" s="23" t="s">
        <v>931</v>
      </c>
    </row>
    <row r="59" spans="1:19" ht="28.8" x14ac:dyDescent="0.3">
      <c r="A59" s="23" t="s">
        <v>1113</v>
      </c>
      <c r="B59" s="23" t="s">
        <v>132</v>
      </c>
      <c r="C59" s="23" t="s">
        <v>80</v>
      </c>
      <c r="D59" s="23" t="s">
        <v>952</v>
      </c>
      <c r="E59" s="23" t="s">
        <v>133</v>
      </c>
      <c r="F59" s="23" t="s">
        <v>135</v>
      </c>
      <c r="G59" s="23" t="s">
        <v>88</v>
      </c>
      <c r="H59" s="24" t="s">
        <v>97</v>
      </c>
      <c r="I59" s="24" t="s">
        <v>96</v>
      </c>
      <c r="J59" s="23" t="s">
        <v>585</v>
      </c>
      <c r="K59" s="25" t="s">
        <v>1114</v>
      </c>
      <c r="L59" s="23" t="s">
        <v>345</v>
      </c>
      <c r="M59" s="23" t="s">
        <v>902</v>
      </c>
      <c r="N59" s="23" t="s">
        <v>929</v>
      </c>
      <c r="O59" s="23">
        <v>15000</v>
      </c>
      <c r="P59" s="29" t="s">
        <v>879</v>
      </c>
      <c r="Q59" s="23" t="s">
        <v>1115</v>
      </c>
      <c r="R59" s="23"/>
      <c r="S59" s="23" t="s">
        <v>898</v>
      </c>
    </row>
    <row r="60" spans="1:19" ht="28.8" x14ac:dyDescent="0.3">
      <c r="A60" s="23" t="s">
        <v>1116</v>
      </c>
      <c r="B60" s="23" t="s">
        <v>132</v>
      </c>
      <c r="C60" s="23" t="s">
        <v>80</v>
      </c>
      <c r="D60" s="23" t="s">
        <v>952</v>
      </c>
      <c r="E60" s="23" t="s">
        <v>133</v>
      </c>
      <c r="F60" s="23" t="s">
        <v>135</v>
      </c>
      <c r="G60" s="23" t="s">
        <v>88</v>
      </c>
      <c r="H60" s="24" t="s">
        <v>97</v>
      </c>
      <c r="I60" s="24" t="s">
        <v>96</v>
      </c>
      <c r="J60" s="23" t="s">
        <v>345</v>
      </c>
      <c r="K60" s="25" t="s">
        <v>140</v>
      </c>
      <c r="L60" s="23" t="s">
        <v>141</v>
      </c>
      <c r="M60" s="23" t="s">
        <v>902</v>
      </c>
      <c r="N60" s="23" t="s">
        <v>929</v>
      </c>
      <c r="O60" s="23">
        <v>20000</v>
      </c>
      <c r="P60" s="29" t="s">
        <v>879</v>
      </c>
      <c r="Q60" s="23" t="s">
        <v>1117</v>
      </c>
      <c r="R60" s="23"/>
      <c r="S60" s="23" t="s">
        <v>898</v>
      </c>
    </row>
    <row r="61" spans="1:19" ht="28.8" x14ac:dyDescent="0.3">
      <c r="A61" s="23" t="s">
        <v>1118</v>
      </c>
      <c r="B61" s="23" t="s">
        <v>132</v>
      </c>
      <c r="C61" s="23" t="s">
        <v>80</v>
      </c>
      <c r="D61" s="23" t="s">
        <v>952</v>
      </c>
      <c r="E61" s="23" t="s">
        <v>133</v>
      </c>
      <c r="F61" s="23" t="s">
        <v>135</v>
      </c>
      <c r="G61" s="23" t="s">
        <v>88</v>
      </c>
      <c r="H61" s="24" t="s">
        <v>97</v>
      </c>
      <c r="I61" s="24" t="s">
        <v>96</v>
      </c>
      <c r="J61" s="23" t="s">
        <v>141</v>
      </c>
      <c r="K61" s="25"/>
      <c r="L61" s="23" t="s">
        <v>1119</v>
      </c>
      <c r="M61" s="23" t="s">
        <v>878</v>
      </c>
      <c r="N61" s="23" t="s">
        <v>896</v>
      </c>
      <c r="O61" s="23">
        <v>0</v>
      </c>
      <c r="P61" s="30" t="s">
        <v>948</v>
      </c>
      <c r="Q61" s="23" t="s">
        <v>1120</v>
      </c>
      <c r="R61" s="23"/>
      <c r="S61" s="23"/>
    </row>
    <row r="62" spans="1:19" ht="28.8" x14ac:dyDescent="0.3">
      <c r="A62" s="23" t="s">
        <v>1121</v>
      </c>
      <c r="B62" s="23" t="s">
        <v>148</v>
      </c>
      <c r="C62" s="23" t="s">
        <v>80</v>
      </c>
      <c r="D62" s="23" t="s">
        <v>1122</v>
      </c>
      <c r="E62" s="23" t="s">
        <v>151</v>
      </c>
      <c r="F62" s="23" t="s">
        <v>153</v>
      </c>
      <c r="G62" s="23" t="s">
        <v>88</v>
      </c>
      <c r="H62" s="24" t="s">
        <v>97</v>
      </c>
      <c r="I62" s="24" t="s">
        <v>96</v>
      </c>
      <c r="J62" s="23" t="s">
        <v>1123</v>
      </c>
      <c r="K62" s="25" t="s">
        <v>1124</v>
      </c>
      <c r="L62" s="23" t="s">
        <v>1125</v>
      </c>
      <c r="M62" s="23" t="s">
        <v>890</v>
      </c>
      <c r="N62" s="23" t="s">
        <v>219</v>
      </c>
      <c r="O62" s="23">
        <v>30000</v>
      </c>
      <c r="P62" s="29" t="s">
        <v>879</v>
      </c>
      <c r="Q62" s="23" t="s">
        <v>1126</v>
      </c>
      <c r="R62" s="23"/>
      <c r="S62" s="23" t="s">
        <v>887</v>
      </c>
    </row>
    <row r="63" spans="1:19" ht="28.8" x14ac:dyDescent="0.3">
      <c r="A63" s="23" t="s">
        <v>1127</v>
      </c>
      <c r="B63" s="23" t="s">
        <v>148</v>
      </c>
      <c r="C63" s="23" t="s">
        <v>80</v>
      </c>
      <c r="D63" s="23" t="s">
        <v>1122</v>
      </c>
      <c r="E63" s="23" t="s">
        <v>151</v>
      </c>
      <c r="F63" s="23" t="s">
        <v>153</v>
      </c>
      <c r="G63" s="23" t="s">
        <v>88</v>
      </c>
      <c r="H63" s="24" t="s">
        <v>97</v>
      </c>
      <c r="I63" s="24" t="s">
        <v>96</v>
      </c>
      <c r="J63" s="23" t="s">
        <v>1125</v>
      </c>
      <c r="K63" s="25" t="s">
        <v>1128</v>
      </c>
      <c r="L63" s="23" t="s">
        <v>1129</v>
      </c>
      <c r="M63" s="23" t="s">
        <v>885</v>
      </c>
      <c r="N63" s="23" t="s">
        <v>168</v>
      </c>
      <c r="O63" s="23">
        <v>20000</v>
      </c>
      <c r="P63" s="29" t="s">
        <v>879</v>
      </c>
      <c r="Q63" s="23" t="s">
        <v>1130</v>
      </c>
      <c r="R63" s="23"/>
      <c r="S63" s="23" t="s">
        <v>881</v>
      </c>
    </row>
    <row r="64" spans="1:19" ht="28.8" x14ac:dyDescent="0.3">
      <c r="A64" s="23" t="s">
        <v>1131</v>
      </c>
      <c r="B64" s="23" t="s">
        <v>148</v>
      </c>
      <c r="C64" s="23" t="s">
        <v>80</v>
      </c>
      <c r="D64" s="23" t="s">
        <v>1122</v>
      </c>
      <c r="E64" s="23" t="s">
        <v>151</v>
      </c>
      <c r="F64" s="23" t="s">
        <v>153</v>
      </c>
      <c r="G64" s="23" t="s">
        <v>88</v>
      </c>
      <c r="H64" s="24" t="s">
        <v>97</v>
      </c>
      <c r="I64" s="24" t="s">
        <v>96</v>
      </c>
      <c r="J64" s="23" t="s">
        <v>1129</v>
      </c>
      <c r="K64" s="25" t="s">
        <v>1132</v>
      </c>
      <c r="L64" s="23" t="s">
        <v>1133</v>
      </c>
      <c r="M64" s="23" t="s">
        <v>878</v>
      </c>
      <c r="N64" s="23" t="s">
        <v>168</v>
      </c>
      <c r="O64" s="23">
        <v>15000</v>
      </c>
      <c r="P64" s="29" t="s">
        <v>879</v>
      </c>
      <c r="Q64" s="23" t="s">
        <v>1134</v>
      </c>
      <c r="R64" s="23"/>
      <c r="S64" s="23" t="s">
        <v>887</v>
      </c>
    </row>
    <row r="65" spans="1:19" ht="28.8" x14ac:dyDescent="0.3">
      <c r="A65" s="23" t="s">
        <v>1135</v>
      </c>
      <c r="B65" s="23" t="s">
        <v>148</v>
      </c>
      <c r="C65" s="23" t="s">
        <v>80</v>
      </c>
      <c r="D65" s="23" t="s">
        <v>1122</v>
      </c>
      <c r="E65" s="23" t="s">
        <v>151</v>
      </c>
      <c r="F65" s="23" t="s">
        <v>153</v>
      </c>
      <c r="G65" s="23" t="s">
        <v>88</v>
      </c>
      <c r="H65" s="24" t="s">
        <v>97</v>
      </c>
      <c r="I65" s="24" t="s">
        <v>96</v>
      </c>
      <c r="J65" s="23" t="s">
        <v>1133</v>
      </c>
      <c r="K65" s="25" t="s">
        <v>1136</v>
      </c>
      <c r="L65" s="23" t="s">
        <v>1137</v>
      </c>
      <c r="M65" s="23" t="s">
        <v>902</v>
      </c>
      <c r="N65" s="23" t="s">
        <v>168</v>
      </c>
      <c r="O65" s="23">
        <v>30000</v>
      </c>
      <c r="P65" s="29" t="s">
        <v>879</v>
      </c>
      <c r="Q65" s="23" t="s">
        <v>1138</v>
      </c>
      <c r="R65" s="23"/>
      <c r="S65" s="23" t="s">
        <v>939</v>
      </c>
    </row>
    <row r="66" spans="1:19" ht="28.8" x14ac:dyDescent="0.3">
      <c r="A66" s="23" t="s">
        <v>1139</v>
      </c>
      <c r="B66" s="23" t="s">
        <v>148</v>
      </c>
      <c r="C66" s="23" t="s">
        <v>80</v>
      </c>
      <c r="D66" s="23" t="s">
        <v>1122</v>
      </c>
      <c r="E66" s="23" t="s">
        <v>151</v>
      </c>
      <c r="F66" s="23" t="s">
        <v>153</v>
      </c>
      <c r="G66" s="23" t="s">
        <v>88</v>
      </c>
      <c r="H66" s="24" t="s">
        <v>97</v>
      </c>
      <c r="I66" s="24" t="s">
        <v>96</v>
      </c>
      <c r="J66" s="23" t="s">
        <v>1137</v>
      </c>
      <c r="K66" s="25" t="s">
        <v>1140</v>
      </c>
      <c r="L66" s="23" t="s">
        <v>1141</v>
      </c>
      <c r="M66" s="23" t="s">
        <v>885</v>
      </c>
      <c r="N66" s="23" t="s">
        <v>219</v>
      </c>
      <c r="O66" s="23">
        <v>15000</v>
      </c>
      <c r="P66" s="29" t="s">
        <v>879</v>
      </c>
      <c r="Q66" s="23" t="s">
        <v>1142</v>
      </c>
      <c r="R66" s="23"/>
      <c r="S66" s="23" t="s">
        <v>926</v>
      </c>
    </row>
    <row r="67" spans="1:19" ht="28.8" x14ac:dyDescent="0.3">
      <c r="A67" s="23" t="s">
        <v>1143</v>
      </c>
      <c r="B67" s="23" t="s">
        <v>148</v>
      </c>
      <c r="C67" s="23" t="s">
        <v>80</v>
      </c>
      <c r="D67" s="23" t="s">
        <v>1122</v>
      </c>
      <c r="E67" s="23" t="s">
        <v>151</v>
      </c>
      <c r="F67" s="23" t="s">
        <v>153</v>
      </c>
      <c r="G67" s="23" t="s">
        <v>88</v>
      </c>
      <c r="H67" s="24" t="s">
        <v>97</v>
      </c>
      <c r="I67" s="24" t="s">
        <v>96</v>
      </c>
      <c r="J67" s="23" t="s">
        <v>1141</v>
      </c>
      <c r="K67" s="25" t="s">
        <v>1144</v>
      </c>
      <c r="L67" s="23" t="s">
        <v>1145</v>
      </c>
      <c r="M67" s="23" t="s">
        <v>885</v>
      </c>
      <c r="N67" s="23" t="s">
        <v>111</v>
      </c>
      <c r="O67" s="23">
        <v>20000</v>
      </c>
      <c r="P67" s="29" t="s">
        <v>879</v>
      </c>
      <c r="Q67" s="23" t="s">
        <v>1146</v>
      </c>
      <c r="R67" s="23"/>
      <c r="S67" s="23" t="s">
        <v>892</v>
      </c>
    </row>
    <row r="68" spans="1:19" ht="28.8" x14ac:dyDescent="0.3">
      <c r="A68" s="23" t="s">
        <v>1147</v>
      </c>
      <c r="B68" s="23" t="s">
        <v>148</v>
      </c>
      <c r="C68" s="23" t="s">
        <v>80</v>
      </c>
      <c r="D68" s="23" t="s">
        <v>1122</v>
      </c>
      <c r="E68" s="23" t="s">
        <v>151</v>
      </c>
      <c r="F68" s="23" t="s">
        <v>153</v>
      </c>
      <c r="G68" s="23" t="s">
        <v>88</v>
      </c>
      <c r="H68" s="24" t="s">
        <v>97</v>
      </c>
      <c r="I68" s="24" t="s">
        <v>96</v>
      </c>
      <c r="J68" s="23" t="s">
        <v>1145</v>
      </c>
      <c r="K68" s="25" t="s">
        <v>1148</v>
      </c>
      <c r="L68" s="23" t="s">
        <v>1149</v>
      </c>
      <c r="M68" s="23" t="s">
        <v>885</v>
      </c>
      <c r="N68" s="23" t="s">
        <v>131</v>
      </c>
      <c r="O68" s="23">
        <v>20000</v>
      </c>
      <c r="P68" s="29" t="s">
        <v>879</v>
      </c>
      <c r="Q68" s="23" t="s">
        <v>1150</v>
      </c>
      <c r="R68" s="23"/>
      <c r="S68" s="23" t="s">
        <v>926</v>
      </c>
    </row>
    <row r="69" spans="1:19" ht="28.8" x14ac:dyDescent="0.3">
      <c r="A69" s="23" t="s">
        <v>1151</v>
      </c>
      <c r="B69" s="23" t="s">
        <v>148</v>
      </c>
      <c r="C69" s="23" t="s">
        <v>80</v>
      </c>
      <c r="D69" s="23" t="s">
        <v>1122</v>
      </c>
      <c r="E69" s="23" t="s">
        <v>151</v>
      </c>
      <c r="F69" s="23" t="s">
        <v>153</v>
      </c>
      <c r="G69" s="23" t="s">
        <v>88</v>
      </c>
      <c r="H69" s="24" t="s">
        <v>97</v>
      </c>
      <c r="I69" s="24" t="s">
        <v>96</v>
      </c>
      <c r="J69" s="23" t="s">
        <v>1149</v>
      </c>
      <c r="K69" s="25" t="s">
        <v>1152</v>
      </c>
      <c r="L69" s="23" t="s">
        <v>1153</v>
      </c>
      <c r="M69" s="23" t="s">
        <v>902</v>
      </c>
      <c r="N69" s="23" t="s">
        <v>219</v>
      </c>
      <c r="O69" s="23">
        <v>15000</v>
      </c>
      <c r="P69" s="29" t="s">
        <v>879</v>
      </c>
      <c r="Q69" s="23" t="s">
        <v>1154</v>
      </c>
      <c r="R69" s="23"/>
      <c r="S69" s="23" t="s">
        <v>939</v>
      </c>
    </row>
    <row r="70" spans="1:19" ht="28.8" x14ac:dyDescent="0.3">
      <c r="A70" s="23" t="s">
        <v>1155</v>
      </c>
      <c r="B70" s="23" t="s">
        <v>148</v>
      </c>
      <c r="C70" s="23" t="s">
        <v>80</v>
      </c>
      <c r="D70" s="23" t="s">
        <v>1122</v>
      </c>
      <c r="E70" s="23" t="s">
        <v>151</v>
      </c>
      <c r="F70" s="23" t="s">
        <v>153</v>
      </c>
      <c r="G70" s="23" t="s">
        <v>88</v>
      </c>
      <c r="H70" s="24" t="s">
        <v>97</v>
      </c>
      <c r="I70" s="24" t="s">
        <v>96</v>
      </c>
      <c r="J70" s="23" t="s">
        <v>1153</v>
      </c>
      <c r="K70" s="25" t="s">
        <v>1156</v>
      </c>
      <c r="L70" s="23" t="s">
        <v>1157</v>
      </c>
      <c r="M70" s="23" t="s">
        <v>890</v>
      </c>
      <c r="N70" s="23" t="s">
        <v>896</v>
      </c>
      <c r="O70" s="23">
        <v>30000</v>
      </c>
      <c r="P70" s="29" t="s">
        <v>879</v>
      </c>
      <c r="Q70" s="23" t="s">
        <v>1158</v>
      </c>
      <c r="R70" s="23"/>
      <c r="S70" s="23" t="s">
        <v>931</v>
      </c>
    </row>
    <row r="71" spans="1:19" ht="28.8" x14ac:dyDescent="0.3">
      <c r="A71" s="23" t="s">
        <v>1159</v>
      </c>
      <c r="B71" s="23" t="s">
        <v>148</v>
      </c>
      <c r="C71" s="23" t="s">
        <v>80</v>
      </c>
      <c r="D71" s="23" t="s">
        <v>1122</v>
      </c>
      <c r="E71" s="23" t="s">
        <v>151</v>
      </c>
      <c r="F71" s="23" t="s">
        <v>153</v>
      </c>
      <c r="G71" s="23" t="s">
        <v>88</v>
      </c>
      <c r="H71" s="24" t="s">
        <v>97</v>
      </c>
      <c r="I71" s="24" t="s">
        <v>96</v>
      </c>
      <c r="J71" s="23" t="s">
        <v>1157</v>
      </c>
      <c r="K71" s="25" t="s">
        <v>1160</v>
      </c>
      <c r="L71" s="23" t="s">
        <v>242</v>
      </c>
      <c r="M71" s="23" t="s">
        <v>902</v>
      </c>
      <c r="N71" s="23" t="s">
        <v>219</v>
      </c>
      <c r="O71" s="23">
        <v>30000</v>
      </c>
      <c r="P71" s="29" t="s">
        <v>879</v>
      </c>
      <c r="Q71" s="23" t="s">
        <v>1161</v>
      </c>
      <c r="R71" s="23"/>
      <c r="S71" s="23" t="s">
        <v>926</v>
      </c>
    </row>
    <row r="72" spans="1:19" ht="28.8" x14ac:dyDescent="0.3">
      <c r="A72" s="23" t="s">
        <v>1162</v>
      </c>
      <c r="B72" s="23" t="s">
        <v>148</v>
      </c>
      <c r="C72" s="23" t="s">
        <v>80</v>
      </c>
      <c r="D72" s="23" t="s">
        <v>1122</v>
      </c>
      <c r="E72" s="23" t="s">
        <v>151</v>
      </c>
      <c r="F72" s="23" t="s">
        <v>153</v>
      </c>
      <c r="G72" s="23" t="s">
        <v>88</v>
      </c>
      <c r="H72" s="24" t="s">
        <v>97</v>
      </c>
      <c r="I72" s="24" t="s">
        <v>96</v>
      </c>
      <c r="J72" s="23" t="s">
        <v>242</v>
      </c>
      <c r="K72" s="25" t="s">
        <v>1163</v>
      </c>
      <c r="L72" s="23" t="s">
        <v>1164</v>
      </c>
      <c r="M72" s="23" t="s">
        <v>902</v>
      </c>
      <c r="N72" s="23" t="s">
        <v>131</v>
      </c>
      <c r="O72" s="23">
        <v>15000</v>
      </c>
      <c r="P72" s="29" t="s">
        <v>879</v>
      </c>
      <c r="Q72" s="23" t="s">
        <v>1165</v>
      </c>
      <c r="R72" s="23"/>
      <c r="S72" s="23" t="s">
        <v>887</v>
      </c>
    </row>
    <row r="73" spans="1:19" ht="28.8" x14ac:dyDescent="0.3">
      <c r="A73" s="23" t="s">
        <v>1166</v>
      </c>
      <c r="B73" s="23" t="s">
        <v>148</v>
      </c>
      <c r="C73" s="23" t="s">
        <v>80</v>
      </c>
      <c r="D73" s="23" t="s">
        <v>1122</v>
      </c>
      <c r="E73" s="23" t="s">
        <v>151</v>
      </c>
      <c r="F73" s="23" t="s">
        <v>153</v>
      </c>
      <c r="G73" s="23" t="s">
        <v>88</v>
      </c>
      <c r="H73" s="24" t="s">
        <v>97</v>
      </c>
      <c r="I73" s="24" t="s">
        <v>96</v>
      </c>
      <c r="J73" s="23" t="s">
        <v>1164</v>
      </c>
      <c r="K73" s="25" t="s">
        <v>1167</v>
      </c>
      <c r="L73" s="23" t="s">
        <v>1168</v>
      </c>
      <c r="M73" s="23" t="s">
        <v>890</v>
      </c>
      <c r="N73" s="23" t="s">
        <v>896</v>
      </c>
      <c r="O73" s="23">
        <v>30000</v>
      </c>
      <c r="P73" s="29" t="s">
        <v>879</v>
      </c>
      <c r="Q73" s="23" t="s">
        <v>1169</v>
      </c>
      <c r="R73" s="23"/>
      <c r="S73" s="23" t="s">
        <v>939</v>
      </c>
    </row>
    <row r="74" spans="1:19" ht="28.8" x14ac:dyDescent="0.3">
      <c r="A74" s="23" t="s">
        <v>1170</v>
      </c>
      <c r="B74" s="23" t="s">
        <v>148</v>
      </c>
      <c r="C74" s="23" t="s">
        <v>80</v>
      </c>
      <c r="D74" s="23" t="s">
        <v>1122</v>
      </c>
      <c r="E74" s="23" t="s">
        <v>151</v>
      </c>
      <c r="F74" s="23" t="s">
        <v>153</v>
      </c>
      <c r="G74" s="23" t="s">
        <v>88</v>
      </c>
      <c r="H74" s="24" t="s">
        <v>97</v>
      </c>
      <c r="I74" s="24" t="s">
        <v>96</v>
      </c>
      <c r="J74" s="23" t="s">
        <v>1168</v>
      </c>
      <c r="K74" s="25" t="s">
        <v>1171</v>
      </c>
      <c r="L74" s="23" t="s">
        <v>1172</v>
      </c>
      <c r="M74" s="23" t="s">
        <v>902</v>
      </c>
      <c r="N74" s="23" t="s">
        <v>131</v>
      </c>
      <c r="O74" s="23">
        <v>20000</v>
      </c>
      <c r="P74" s="29" t="s">
        <v>879</v>
      </c>
      <c r="Q74" s="23" t="s">
        <v>1173</v>
      </c>
      <c r="R74" s="23"/>
      <c r="S74" s="23" t="s">
        <v>926</v>
      </c>
    </row>
    <row r="75" spans="1:19" ht="28.8" x14ac:dyDescent="0.3">
      <c r="A75" s="23" t="s">
        <v>1174</v>
      </c>
      <c r="B75" s="23" t="s">
        <v>148</v>
      </c>
      <c r="C75" s="23" t="s">
        <v>80</v>
      </c>
      <c r="D75" s="23" t="s">
        <v>1122</v>
      </c>
      <c r="E75" s="23" t="s">
        <v>151</v>
      </c>
      <c r="F75" s="23" t="s">
        <v>153</v>
      </c>
      <c r="G75" s="23" t="s">
        <v>88</v>
      </c>
      <c r="H75" s="24" t="s">
        <v>97</v>
      </c>
      <c r="I75" s="24" t="s">
        <v>96</v>
      </c>
      <c r="J75" s="23" t="s">
        <v>1172</v>
      </c>
      <c r="K75" s="25" t="s">
        <v>1172</v>
      </c>
      <c r="L75" s="23" t="s">
        <v>1175</v>
      </c>
      <c r="M75" s="23" t="s">
        <v>885</v>
      </c>
      <c r="N75" s="23" t="s">
        <v>896</v>
      </c>
      <c r="O75" s="23">
        <v>30000</v>
      </c>
      <c r="P75" s="29" t="s">
        <v>879</v>
      </c>
      <c r="Q75" s="23" t="s">
        <v>1176</v>
      </c>
      <c r="R75" s="23" t="s">
        <v>1063</v>
      </c>
      <c r="S75" s="23" t="s">
        <v>887</v>
      </c>
    </row>
    <row r="76" spans="1:19" ht="28.8" x14ac:dyDescent="0.3">
      <c r="A76" s="23" t="s">
        <v>1177</v>
      </c>
      <c r="B76" s="23" t="s">
        <v>148</v>
      </c>
      <c r="C76" s="23" t="s">
        <v>80</v>
      </c>
      <c r="D76" s="23" t="s">
        <v>1122</v>
      </c>
      <c r="E76" s="23" t="s">
        <v>151</v>
      </c>
      <c r="F76" s="23" t="s">
        <v>153</v>
      </c>
      <c r="G76" s="23" t="s">
        <v>88</v>
      </c>
      <c r="H76" s="24" t="s">
        <v>97</v>
      </c>
      <c r="I76" s="24" t="s">
        <v>96</v>
      </c>
      <c r="J76" s="23" t="s">
        <v>1175</v>
      </c>
      <c r="K76" s="25" t="s">
        <v>1178</v>
      </c>
      <c r="L76" s="23" t="s">
        <v>1179</v>
      </c>
      <c r="M76" s="23" t="s">
        <v>902</v>
      </c>
      <c r="N76" s="23" t="s">
        <v>111</v>
      </c>
      <c r="O76" s="23">
        <v>15000</v>
      </c>
      <c r="P76" s="29" t="s">
        <v>879</v>
      </c>
      <c r="Q76" s="23" t="s">
        <v>1180</v>
      </c>
      <c r="R76" s="23"/>
      <c r="S76" s="23" t="s">
        <v>931</v>
      </c>
    </row>
    <row r="77" spans="1:19" ht="28.8" x14ac:dyDescent="0.3">
      <c r="A77" s="23" t="s">
        <v>1181</v>
      </c>
      <c r="B77" s="23" t="s">
        <v>148</v>
      </c>
      <c r="C77" s="23" t="s">
        <v>80</v>
      </c>
      <c r="D77" s="23" t="s">
        <v>1122</v>
      </c>
      <c r="E77" s="23" t="s">
        <v>151</v>
      </c>
      <c r="F77" s="23" t="s">
        <v>153</v>
      </c>
      <c r="G77" s="23" t="s">
        <v>88</v>
      </c>
      <c r="H77" s="24" t="s">
        <v>97</v>
      </c>
      <c r="I77" s="24" t="s">
        <v>96</v>
      </c>
      <c r="J77" s="23" t="s">
        <v>1179</v>
      </c>
      <c r="K77" s="25" t="s">
        <v>157</v>
      </c>
      <c r="L77" s="23" t="s">
        <v>158</v>
      </c>
      <c r="M77" s="23" t="s">
        <v>878</v>
      </c>
      <c r="N77" s="23" t="s">
        <v>219</v>
      </c>
      <c r="O77" s="23">
        <v>15000</v>
      </c>
      <c r="P77" s="29" t="s">
        <v>879</v>
      </c>
      <c r="Q77" s="23" t="s">
        <v>1182</v>
      </c>
      <c r="R77" s="23"/>
      <c r="S77" s="23" t="s">
        <v>881</v>
      </c>
    </row>
    <row r="78" spans="1:19" ht="28.8" x14ac:dyDescent="0.3">
      <c r="A78" s="23" t="s">
        <v>1183</v>
      </c>
      <c r="B78" s="23" t="s">
        <v>148</v>
      </c>
      <c r="C78" s="23" t="s">
        <v>80</v>
      </c>
      <c r="D78" s="23" t="s">
        <v>1122</v>
      </c>
      <c r="E78" s="23" t="s">
        <v>151</v>
      </c>
      <c r="F78" s="23" t="s">
        <v>153</v>
      </c>
      <c r="G78" s="23" t="s">
        <v>88</v>
      </c>
      <c r="H78" s="24" t="s">
        <v>97</v>
      </c>
      <c r="I78" s="24" t="s">
        <v>96</v>
      </c>
      <c r="J78" s="23" t="s">
        <v>158</v>
      </c>
      <c r="K78" s="25"/>
      <c r="L78" s="23" t="s">
        <v>1184</v>
      </c>
      <c r="M78" s="23" t="s">
        <v>885</v>
      </c>
      <c r="N78" s="23" t="s">
        <v>929</v>
      </c>
      <c r="O78" s="23">
        <v>0</v>
      </c>
      <c r="P78" s="30" t="s">
        <v>948</v>
      </c>
      <c r="Q78" s="23" t="s">
        <v>1185</v>
      </c>
      <c r="R78" s="23"/>
      <c r="S78" s="23" t="s">
        <v>950</v>
      </c>
    </row>
    <row r="79" spans="1:19" ht="28.8" x14ac:dyDescent="0.3">
      <c r="A79" s="23" t="s">
        <v>1186</v>
      </c>
      <c r="B79" s="23" t="s">
        <v>170</v>
      </c>
      <c r="C79" s="23" t="s">
        <v>80</v>
      </c>
      <c r="D79" s="23" t="s">
        <v>1187</v>
      </c>
      <c r="E79" s="23" t="s">
        <v>172</v>
      </c>
      <c r="F79" s="23" t="s">
        <v>174</v>
      </c>
      <c r="G79" s="23" t="s">
        <v>175</v>
      </c>
      <c r="H79" s="24" t="s">
        <v>97</v>
      </c>
      <c r="I79" s="24" t="s">
        <v>96</v>
      </c>
      <c r="J79" s="23" t="s">
        <v>1188</v>
      </c>
      <c r="K79" s="25" t="s">
        <v>1189</v>
      </c>
      <c r="L79" s="23" t="s">
        <v>1190</v>
      </c>
      <c r="M79" s="23" t="s">
        <v>885</v>
      </c>
      <c r="N79" s="23" t="s">
        <v>896</v>
      </c>
      <c r="O79" s="23">
        <v>30000</v>
      </c>
      <c r="P79" s="29" t="s">
        <v>879</v>
      </c>
      <c r="Q79" s="23" t="s">
        <v>1191</v>
      </c>
      <c r="R79" s="23"/>
      <c r="S79" s="23" t="s">
        <v>904</v>
      </c>
    </row>
    <row r="80" spans="1:19" ht="28.8" x14ac:dyDescent="0.3">
      <c r="A80" s="23" t="s">
        <v>1192</v>
      </c>
      <c r="B80" s="23" t="s">
        <v>170</v>
      </c>
      <c r="C80" s="23" t="s">
        <v>80</v>
      </c>
      <c r="D80" s="23" t="s">
        <v>1187</v>
      </c>
      <c r="E80" s="23" t="s">
        <v>172</v>
      </c>
      <c r="F80" s="23" t="s">
        <v>174</v>
      </c>
      <c r="G80" s="23" t="s">
        <v>175</v>
      </c>
      <c r="H80" s="24" t="s">
        <v>97</v>
      </c>
      <c r="I80" s="24" t="s">
        <v>96</v>
      </c>
      <c r="J80" s="23" t="s">
        <v>1193</v>
      </c>
      <c r="K80" s="25" t="s">
        <v>1194</v>
      </c>
      <c r="L80" s="23" t="s">
        <v>1195</v>
      </c>
      <c r="M80" s="23" t="s">
        <v>885</v>
      </c>
      <c r="N80" s="23" t="s">
        <v>168</v>
      </c>
      <c r="O80" s="23">
        <v>20000</v>
      </c>
      <c r="P80" s="29" t="s">
        <v>879</v>
      </c>
      <c r="Q80" s="23" t="s">
        <v>1196</v>
      </c>
      <c r="R80" s="23" t="s">
        <v>1063</v>
      </c>
      <c r="S80" s="23" t="s">
        <v>904</v>
      </c>
    </row>
    <row r="81" spans="1:19" ht="28.8" x14ac:dyDescent="0.3">
      <c r="A81" s="23" t="s">
        <v>1197</v>
      </c>
      <c r="B81" s="23" t="s">
        <v>170</v>
      </c>
      <c r="C81" s="23" t="s">
        <v>80</v>
      </c>
      <c r="D81" s="23" t="s">
        <v>1187</v>
      </c>
      <c r="E81" s="23" t="s">
        <v>172</v>
      </c>
      <c r="F81" s="23" t="s">
        <v>174</v>
      </c>
      <c r="G81" s="23" t="s">
        <v>175</v>
      </c>
      <c r="H81" s="24" t="s">
        <v>97</v>
      </c>
      <c r="I81" s="24" t="s">
        <v>96</v>
      </c>
      <c r="J81" s="23" t="s">
        <v>1195</v>
      </c>
      <c r="K81" s="25" t="s">
        <v>1198</v>
      </c>
      <c r="L81" s="23" t="s">
        <v>504</v>
      </c>
      <c r="M81" s="23" t="s">
        <v>878</v>
      </c>
      <c r="N81" s="23" t="s">
        <v>131</v>
      </c>
      <c r="O81" s="23">
        <v>25000</v>
      </c>
      <c r="P81" s="29" t="s">
        <v>879</v>
      </c>
      <c r="Q81" s="23" t="s">
        <v>1199</v>
      </c>
      <c r="R81" s="23"/>
      <c r="S81" s="23" t="s">
        <v>892</v>
      </c>
    </row>
    <row r="82" spans="1:19" ht="28.8" x14ac:dyDescent="0.3">
      <c r="A82" s="23" t="s">
        <v>1200</v>
      </c>
      <c r="B82" s="23" t="s">
        <v>170</v>
      </c>
      <c r="C82" s="23" t="s">
        <v>80</v>
      </c>
      <c r="D82" s="23" t="s">
        <v>1187</v>
      </c>
      <c r="E82" s="23" t="s">
        <v>172</v>
      </c>
      <c r="F82" s="23" t="s">
        <v>174</v>
      </c>
      <c r="G82" s="23" t="s">
        <v>175</v>
      </c>
      <c r="H82" s="24" t="s">
        <v>97</v>
      </c>
      <c r="I82" s="24" t="s">
        <v>96</v>
      </c>
      <c r="J82" s="23" t="s">
        <v>1201</v>
      </c>
      <c r="K82" s="25" t="s">
        <v>1202</v>
      </c>
      <c r="L82" s="23" t="s">
        <v>1203</v>
      </c>
      <c r="M82" s="23" t="s">
        <v>885</v>
      </c>
      <c r="N82" s="23" t="s">
        <v>920</v>
      </c>
      <c r="O82" s="23">
        <v>30000</v>
      </c>
      <c r="P82" s="29" t="s">
        <v>879</v>
      </c>
      <c r="Q82" s="23" t="s">
        <v>1204</v>
      </c>
      <c r="R82" s="23"/>
      <c r="S82" s="23" t="s">
        <v>939</v>
      </c>
    </row>
    <row r="83" spans="1:19" ht="28.8" x14ac:dyDescent="0.3">
      <c r="A83" s="23" t="s">
        <v>1205</v>
      </c>
      <c r="B83" s="23" t="s">
        <v>170</v>
      </c>
      <c r="C83" s="23" t="s">
        <v>80</v>
      </c>
      <c r="D83" s="23" t="s">
        <v>1187</v>
      </c>
      <c r="E83" s="23" t="s">
        <v>172</v>
      </c>
      <c r="F83" s="23" t="s">
        <v>174</v>
      </c>
      <c r="G83" s="23" t="s">
        <v>175</v>
      </c>
      <c r="H83" s="24" t="s">
        <v>97</v>
      </c>
      <c r="I83" s="24" t="s">
        <v>96</v>
      </c>
      <c r="J83" s="23" t="s">
        <v>1203</v>
      </c>
      <c r="K83" s="25" t="s">
        <v>1206</v>
      </c>
      <c r="L83" s="23" t="s">
        <v>717</v>
      </c>
      <c r="M83" s="23" t="s">
        <v>902</v>
      </c>
      <c r="N83" s="23" t="s">
        <v>219</v>
      </c>
      <c r="O83" s="23">
        <v>15000</v>
      </c>
      <c r="P83" s="29" t="s">
        <v>879</v>
      </c>
      <c r="Q83" s="23" t="s">
        <v>1207</v>
      </c>
      <c r="R83" s="23"/>
      <c r="S83" s="23" t="s">
        <v>931</v>
      </c>
    </row>
    <row r="84" spans="1:19" ht="28.8" x14ac:dyDescent="0.3">
      <c r="A84" s="23" t="s">
        <v>1208</v>
      </c>
      <c r="B84" s="23" t="s">
        <v>170</v>
      </c>
      <c r="C84" s="23" t="s">
        <v>80</v>
      </c>
      <c r="D84" s="23" t="s">
        <v>1187</v>
      </c>
      <c r="E84" s="23" t="s">
        <v>172</v>
      </c>
      <c r="F84" s="23" t="s">
        <v>174</v>
      </c>
      <c r="G84" s="23" t="s">
        <v>175</v>
      </c>
      <c r="H84" s="24" t="s">
        <v>97</v>
      </c>
      <c r="I84" s="24" t="s">
        <v>96</v>
      </c>
      <c r="J84" s="23" t="s">
        <v>717</v>
      </c>
      <c r="K84" s="25" t="s">
        <v>1209</v>
      </c>
      <c r="L84" s="23" t="s">
        <v>357</v>
      </c>
      <c r="M84" s="23" t="s">
        <v>878</v>
      </c>
      <c r="N84" s="23" t="s">
        <v>929</v>
      </c>
      <c r="O84" s="23">
        <v>30000</v>
      </c>
      <c r="P84" s="29" t="s">
        <v>879</v>
      </c>
      <c r="Q84" s="23" t="s">
        <v>1210</v>
      </c>
      <c r="R84" s="23"/>
      <c r="S84" s="23" t="s">
        <v>904</v>
      </c>
    </row>
    <row r="85" spans="1:19" ht="28.8" x14ac:dyDescent="0.3">
      <c r="A85" s="23" t="s">
        <v>1211</v>
      </c>
      <c r="B85" s="23" t="s">
        <v>170</v>
      </c>
      <c r="C85" s="23" t="s">
        <v>80</v>
      </c>
      <c r="D85" s="23" t="s">
        <v>1187</v>
      </c>
      <c r="E85" s="23" t="s">
        <v>172</v>
      </c>
      <c r="F85" s="23" t="s">
        <v>174</v>
      </c>
      <c r="G85" s="23" t="s">
        <v>175</v>
      </c>
      <c r="H85" s="24" t="s">
        <v>97</v>
      </c>
      <c r="I85" s="24" t="s">
        <v>96</v>
      </c>
      <c r="J85" s="23" t="s">
        <v>357</v>
      </c>
      <c r="K85" s="25" t="s">
        <v>1212</v>
      </c>
      <c r="L85" s="23" t="s">
        <v>1213</v>
      </c>
      <c r="M85" s="23" t="s">
        <v>878</v>
      </c>
      <c r="N85" s="23" t="s">
        <v>929</v>
      </c>
      <c r="O85" s="23">
        <v>30000</v>
      </c>
      <c r="P85" s="29" t="s">
        <v>879</v>
      </c>
      <c r="Q85" s="23" t="s">
        <v>1214</v>
      </c>
      <c r="R85" s="23"/>
      <c r="S85" s="23" t="s">
        <v>892</v>
      </c>
    </row>
    <row r="86" spans="1:19" ht="28.8" x14ac:dyDescent="0.3">
      <c r="A86" s="23" t="s">
        <v>1215</v>
      </c>
      <c r="B86" s="23" t="s">
        <v>170</v>
      </c>
      <c r="C86" s="23" t="s">
        <v>80</v>
      </c>
      <c r="D86" s="23" t="s">
        <v>1187</v>
      </c>
      <c r="E86" s="23" t="s">
        <v>172</v>
      </c>
      <c r="F86" s="23" t="s">
        <v>174</v>
      </c>
      <c r="G86" s="23" t="s">
        <v>175</v>
      </c>
      <c r="H86" s="24" t="s">
        <v>97</v>
      </c>
      <c r="I86" s="24" t="s">
        <v>96</v>
      </c>
      <c r="J86" s="23" t="s">
        <v>1213</v>
      </c>
      <c r="K86" s="25" t="s">
        <v>1213</v>
      </c>
      <c r="L86" s="23" t="s">
        <v>1216</v>
      </c>
      <c r="M86" s="23" t="s">
        <v>902</v>
      </c>
      <c r="N86" s="23" t="s">
        <v>131</v>
      </c>
      <c r="O86" s="23">
        <v>20000</v>
      </c>
      <c r="P86" s="29" t="s">
        <v>879</v>
      </c>
      <c r="Q86" s="23" t="s">
        <v>1217</v>
      </c>
      <c r="R86" s="23"/>
      <c r="S86" s="23" t="s">
        <v>939</v>
      </c>
    </row>
    <row r="87" spans="1:19" ht="28.8" x14ac:dyDescent="0.3">
      <c r="A87" s="23" t="s">
        <v>1218</v>
      </c>
      <c r="B87" s="23" t="s">
        <v>170</v>
      </c>
      <c r="C87" s="23" t="s">
        <v>80</v>
      </c>
      <c r="D87" s="23" t="s">
        <v>1187</v>
      </c>
      <c r="E87" s="23" t="s">
        <v>172</v>
      </c>
      <c r="F87" s="23" t="s">
        <v>174</v>
      </c>
      <c r="G87" s="23" t="s">
        <v>175</v>
      </c>
      <c r="H87" s="24" t="s">
        <v>97</v>
      </c>
      <c r="I87" s="24" t="s">
        <v>96</v>
      </c>
      <c r="J87" s="23" t="s">
        <v>1219</v>
      </c>
      <c r="K87" s="25" t="s">
        <v>1219</v>
      </c>
      <c r="L87" s="23" t="s">
        <v>1220</v>
      </c>
      <c r="M87" s="23" t="s">
        <v>878</v>
      </c>
      <c r="N87" s="23" t="s">
        <v>219</v>
      </c>
      <c r="O87" s="23">
        <v>15000</v>
      </c>
      <c r="P87" s="29" t="s">
        <v>879</v>
      </c>
      <c r="Q87" s="23" t="s">
        <v>1221</v>
      </c>
      <c r="R87" s="23"/>
      <c r="S87" s="23" t="s">
        <v>887</v>
      </c>
    </row>
    <row r="88" spans="1:19" ht="28.8" x14ac:dyDescent="0.3">
      <c r="A88" s="23" t="s">
        <v>1222</v>
      </c>
      <c r="B88" s="23" t="s">
        <v>170</v>
      </c>
      <c r="C88" s="23" t="s">
        <v>80</v>
      </c>
      <c r="D88" s="23" t="s">
        <v>1187</v>
      </c>
      <c r="E88" s="23" t="s">
        <v>172</v>
      </c>
      <c r="F88" s="23" t="s">
        <v>174</v>
      </c>
      <c r="G88" s="23" t="s">
        <v>175</v>
      </c>
      <c r="H88" s="24" t="s">
        <v>97</v>
      </c>
      <c r="I88" s="24" t="s">
        <v>96</v>
      </c>
      <c r="J88" s="23" t="s">
        <v>1220</v>
      </c>
      <c r="K88" s="25" t="s">
        <v>492</v>
      </c>
      <c r="L88" s="23" t="s">
        <v>468</v>
      </c>
      <c r="M88" s="23" t="s">
        <v>890</v>
      </c>
      <c r="N88" s="23" t="s">
        <v>168</v>
      </c>
      <c r="O88" s="23">
        <v>25000</v>
      </c>
      <c r="P88" s="29" t="s">
        <v>879</v>
      </c>
      <c r="Q88" s="23" t="s">
        <v>1223</v>
      </c>
      <c r="R88" s="23"/>
      <c r="S88" s="23" t="s">
        <v>892</v>
      </c>
    </row>
    <row r="89" spans="1:19" ht="28.8" x14ac:dyDescent="0.3">
      <c r="A89" s="23" t="s">
        <v>1224</v>
      </c>
      <c r="B89" s="23" t="s">
        <v>170</v>
      </c>
      <c r="C89" s="23" t="s">
        <v>80</v>
      </c>
      <c r="D89" s="23" t="s">
        <v>1187</v>
      </c>
      <c r="E89" s="23" t="s">
        <v>172</v>
      </c>
      <c r="F89" s="23" t="s">
        <v>174</v>
      </c>
      <c r="G89" s="23" t="s">
        <v>175</v>
      </c>
      <c r="H89" s="24" t="s">
        <v>97</v>
      </c>
      <c r="I89" s="24" t="s">
        <v>96</v>
      </c>
      <c r="J89" s="23" t="s">
        <v>468</v>
      </c>
      <c r="K89" s="25" t="s">
        <v>179</v>
      </c>
      <c r="L89" s="23" t="s">
        <v>180</v>
      </c>
      <c r="M89" s="23" t="s">
        <v>885</v>
      </c>
      <c r="N89" s="23" t="s">
        <v>219</v>
      </c>
      <c r="O89" s="23">
        <v>15000</v>
      </c>
      <c r="P89" s="29" t="s">
        <v>879</v>
      </c>
      <c r="Q89" s="23" t="s">
        <v>1225</v>
      </c>
      <c r="R89" s="23"/>
      <c r="S89" s="23" t="s">
        <v>939</v>
      </c>
    </row>
    <row r="90" spans="1:19" ht="28.8" x14ac:dyDescent="0.3">
      <c r="A90" s="23" t="s">
        <v>1226</v>
      </c>
      <c r="B90" s="23" t="s">
        <v>170</v>
      </c>
      <c r="C90" s="23" t="s">
        <v>80</v>
      </c>
      <c r="D90" s="23" t="s">
        <v>1187</v>
      </c>
      <c r="E90" s="23" t="s">
        <v>172</v>
      </c>
      <c r="F90" s="23" t="s">
        <v>174</v>
      </c>
      <c r="G90" s="23" t="s">
        <v>175</v>
      </c>
      <c r="H90" s="24" t="s">
        <v>97</v>
      </c>
      <c r="I90" s="24" t="s">
        <v>96</v>
      </c>
      <c r="J90" s="23" t="s">
        <v>180</v>
      </c>
      <c r="K90" s="25"/>
      <c r="L90" s="23" t="s">
        <v>1227</v>
      </c>
      <c r="M90" s="23" t="s">
        <v>890</v>
      </c>
      <c r="N90" s="23" t="s">
        <v>111</v>
      </c>
      <c r="O90" s="23">
        <v>0</v>
      </c>
      <c r="P90" s="30" t="s">
        <v>948</v>
      </c>
      <c r="Q90" s="23" t="s">
        <v>1228</v>
      </c>
      <c r="R90" s="23"/>
      <c r="S90" s="23"/>
    </row>
    <row r="91" spans="1:19" ht="28.8" x14ac:dyDescent="0.3">
      <c r="A91" s="23" t="s">
        <v>1229</v>
      </c>
      <c r="B91" s="23" t="s">
        <v>189</v>
      </c>
      <c r="C91" s="23" t="s">
        <v>80</v>
      </c>
      <c r="D91" s="23" t="s">
        <v>1122</v>
      </c>
      <c r="E91" s="23" t="s">
        <v>190</v>
      </c>
      <c r="F91" s="23" t="s">
        <v>192</v>
      </c>
      <c r="G91" s="23" t="s">
        <v>88</v>
      </c>
      <c r="H91" s="24" t="s">
        <v>97</v>
      </c>
      <c r="I91" s="24" t="s">
        <v>96</v>
      </c>
      <c r="J91" s="23" t="s">
        <v>1230</v>
      </c>
      <c r="K91" s="25" t="s">
        <v>1231</v>
      </c>
      <c r="L91" s="23" t="s">
        <v>1232</v>
      </c>
      <c r="M91" s="23" t="s">
        <v>885</v>
      </c>
      <c r="N91" s="23" t="s">
        <v>219</v>
      </c>
      <c r="O91" s="23">
        <v>15000</v>
      </c>
      <c r="P91" s="29" t="s">
        <v>879</v>
      </c>
      <c r="Q91" s="23" t="s">
        <v>1233</v>
      </c>
      <c r="R91" s="23"/>
      <c r="S91" s="23" t="s">
        <v>898</v>
      </c>
    </row>
    <row r="92" spans="1:19" ht="28.8" x14ac:dyDescent="0.3">
      <c r="A92" s="23" t="s">
        <v>1234</v>
      </c>
      <c r="B92" s="23" t="s">
        <v>189</v>
      </c>
      <c r="C92" s="23" t="s">
        <v>80</v>
      </c>
      <c r="D92" s="23" t="s">
        <v>1122</v>
      </c>
      <c r="E92" s="23" t="s">
        <v>190</v>
      </c>
      <c r="F92" s="23" t="s">
        <v>192</v>
      </c>
      <c r="G92" s="23" t="s">
        <v>88</v>
      </c>
      <c r="H92" s="24" t="s">
        <v>97</v>
      </c>
      <c r="I92" s="24" t="s">
        <v>96</v>
      </c>
      <c r="J92" s="23" t="s">
        <v>1232</v>
      </c>
      <c r="K92" s="25" t="s">
        <v>1235</v>
      </c>
      <c r="L92" s="23" t="s">
        <v>1236</v>
      </c>
      <c r="M92" s="23" t="s">
        <v>890</v>
      </c>
      <c r="N92" s="23" t="s">
        <v>920</v>
      </c>
      <c r="O92" s="23">
        <v>15000</v>
      </c>
      <c r="P92" s="29" t="s">
        <v>879</v>
      </c>
      <c r="Q92" s="23" t="s">
        <v>1237</v>
      </c>
      <c r="R92" s="23"/>
      <c r="S92" s="23" t="s">
        <v>887</v>
      </c>
    </row>
    <row r="93" spans="1:19" ht="28.8" x14ac:dyDescent="0.3">
      <c r="A93" s="23" t="s">
        <v>1238</v>
      </c>
      <c r="B93" s="23" t="s">
        <v>189</v>
      </c>
      <c r="C93" s="23" t="s">
        <v>80</v>
      </c>
      <c r="D93" s="23" t="s">
        <v>1122</v>
      </c>
      <c r="E93" s="23" t="s">
        <v>190</v>
      </c>
      <c r="F93" s="23" t="s">
        <v>192</v>
      </c>
      <c r="G93" s="23" t="s">
        <v>88</v>
      </c>
      <c r="H93" s="24" t="s">
        <v>97</v>
      </c>
      <c r="I93" s="24" t="s">
        <v>96</v>
      </c>
      <c r="J93" s="23" t="s">
        <v>1236</v>
      </c>
      <c r="K93" s="25" t="s">
        <v>1239</v>
      </c>
      <c r="L93" s="23" t="s">
        <v>1240</v>
      </c>
      <c r="M93" s="23" t="s">
        <v>885</v>
      </c>
      <c r="N93" s="23" t="s">
        <v>929</v>
      </c>
      <c r="O93" s="23">
        <v>25000</v>
      </c>
      <c r="P93" s="29" t="s">
        <v>879</v>
      </c>
      <c r="Q93" s="23" t="s">
        <v>1241</v>
      </c>
      <c r="R93" s="23"/>
      <c r="S93" s="23" t="s">
        <v>926</v>
      </c>
    </row>
    <row r="94" spans="1:19" ht="28.8" x14ac:dyDescent="0.3">
      <c r="A94" s="23" t="s">
        <v>1242</v>
      </c>
      <c r="B94" s="23" t="s">
        <v>189</v>
      </c>
      <c r="C94" s="23" t="s">
        <v>80</v>
      </c>
      <c r="D94" s="23" t="s">
        <v>1122</v>
      </c>
      <c r="E94" s="23" t="s">
        <v>190</v>
      </c>
      <c r="F94" s="23" t="s">
        <v>192</v>
      </c>
      <c r="G94" s="23" t="s">
        <v>88</v>
      </c>
      <c r="H94" s="24" t="s">
        <v>97</v>
      </c>
      <c r="I94" s="24" t="s">
        <v>96</v>
      </c>
      <c r="J94" s="23" t="s">
        <v>1240</v>
      </c>
      <c r="K94" s="25" t="s">
        <v>1243</v>
      </c>
      <c r="L94" s="23" t="s">
        <v>1244</v>
      </c>
      <c r="M94" s="23" t="s">
        <v>890</v>
      </c>
      <c r="N94" s="23" t="s">
        <v>131</v>
      </c>
      <c r="O94" s="23">
        <v>20000</v>
      </c>
      <c r="P94" s="29" t="s">
        <v>879</v>
      </c>
      <c r="Q94" s="23" t="s">
        <v>1245</v>
      </c>
      <c r="R94" s="23"/>
      <c r="S94" s="23" t="s">
        <v>898</v>
      </c>
    </row>
    <row r="95" spans="1:19" ht="28.8" x14ac:dyDescent="0.3">
      <c r="A95" s="23" t="s">
        <v>1246</v>
      </c>
      <c r="B95" s="23" t="s">
        <v>189</v>
      </c>
      <c r="C95" s="23" t="s">
        <v>80</v>
      </c>
      <c r="D95" s="23" t="s">
        <v>1122</v>
      </c>
      <c r="E95" s="23" t="s">
        <v>190</v>
      </c>
      <c r="F95" s="23" t="s">
        <v>192</v>
      </c>
      <c r="G95" s="23" t="s">
        <v>88</v>
      </c>
      <c r="H95" s="24" t="s">
        <v>97</v>
      </c>
      <c r="I95" s="24" t="s">
        <v>96</v>
      </c>
      <c r="J95" s="23" t="s">
        <v>1244</v>
      </c>
      <c r="K95" s="25" t="s">
        <v>1247</v>
      </c>
      <c r="L95" s="23" t="s">
        <v>1248</v>
      </c>
      <c r="M95" s="23" t="s">
        <v>902</v>
      </c>
      <c r="N95" s="23" t="s">
        <v>929</v>
      </c>
      <c r="O95" s="23">
        <v>30000</v>
      </c>
      <c r="P95" s="29" t="s">
        <v>879</v>
      </c>
      <c r="Q95" s="23" t="s">
        <v>1249</v>
      </c>
      <c r="R95" s="23" t="s">
        <v>1063</v>
      </c>
      <c r="S95" s="23" t="s">
        <v>892</v>
      </c>
    </row>
    <row r="96" spans="1:19" ht="28.8" x14ac:dyDescent="0.3">
      <c r="A96" s="23" t="s">
        <v>1250</v>
      </c>
      <c r="B96" s="23" t="s">
        <v>189</v>
      </c>
      <c r="C96" s="23" t="s">
        <v>80</v>
      </c>
      <c r="D96" s="23" t="s">
        <v>1122</v>
      </c>
      <c r="E96" s="23" t="s">
        <v>190</v>
      </c>
      <c r="F96" s="23" t="s">
        <v>192</v>
      </c>
      <c r="G96" s="23" t="s">
        <v>88</v>
      </c>
      <c r="H96" s="24" t="s">
        <v>97</v>
      </c>
      <c r="I96" s="24" t="s">
        <v>96</v>
      </c>
      <c r="J96" s="23" t="s">
        <v>1248</v>
      </c>
      <c r="K96" s="25" t="s">
        <v>1248</v>
      </c>
      <c r="L96" s="23" t="s">
        <v>1251</v>
      </c>
      <c r="M96" s="23" t="s">
        <v>885</v>
      </c>
      <c r="N96" s="23" t="s">
        <v>131</v>
      </c>
      <c r="O96" s="23">
        <v>15000</v>
      </c>
      <c r="P96" s="29" t="s">
        <v>879</v>
      </c>
      <c r="Q96" s="23" t="s">
        <v>1252</v>
      </c>
      <c r="R96" s="23"/>
      <c r="S96" s="23" t="s">
        <v>887</v>
      </c>
    </row>
    <row r="97" spans="1:19" ht="28.8" x14ac:dyDescent="0.3">
      <c r="A97" s="23" t="s">
        <v>1253</v>
      </c>
      <c r="B97" s="23" t="s">
        <v>189</v>
      </c>
      <c r="C97" s="23" t="s">
        <v>80</v>
      </c>
      <c r="D97" s="23" t="s">
        <v>1122</v>
      </c>
      <c r="E97" s="23" t="s">
        <v>190</v>
      </c>
      <c r="F97" s="23" t="s">
        <v>192</v>
      </c>
      <c r="G97" s="23" t="s">
        <v>88</v>
      </c>
      <c r="H97" s="24" t="s">
        <v>97</v>
      </c>
      <c r="I97" s="24" t="s">
        <v>96</v>
      </c>
      <c r="J97" s="23" t="s">
        <v>1251</v>
      </c>
      <c r="K97" s="25" t="s">
        <v>1254</v>
      </c>
      <c r="L97" s="23" t="s">
        <v>1255</v>
      </c>
      <c r="M97" s="23" t="s">
        <v>890</v>
      </c>
      <c r="N97" s="23" t="s">
        <v>219</v>
      </c>
      <c r="O97" s="23">
        <v>25000</v>
      </c>
      <c r="P97" s="29" t="s">
        <v>879</v>
      </c>
      <c r="Q97" s="23" t="s">
        <v>1256</v>
      </c>
      <c r="R97" s="23"/>
      <c r="S97" s="23" t="s">
        <v>926</v>
      </c>
    </row>
    <row r="98" spans="1:19" ht="28.8" x14ac:dyDescent="0.3">
      <c r="A98" s="23" t="s">
        <v>1257</v>
      </c>
      <c r="B98" s="23" t="s">
        <v>189</v>
      </c>
      <c r="C98" s="23" t="s">
        <v>80</v>
      </c>
      <c r="D98" s="23" t="s">
        <v>1122</v>
      </c>
      <c r="E98" s="23" t="s">
        <v>190</v>
      </c>
      <c r="F98" s="23" t="s">
        <v>192</v>
      </c>
      <c r="G98" s="23" t="s">
        <v>88</v>
      </c>
      <c r="H98" s="24" t="s">
        <v>97</v>
      </c>
      <c r="I98" s="24" t="s">
        <v>96</v>
      </c>
      <c r="J98" s="23" t="s">
        <v>1255</v>
      </c>
      <c r="K98" s="25" t="s">
        <v>1258</v>
      </c>
      <c r="L98" s="23" t="s">
        <v>1259</v>
      </c>
      <c r="M98" s="23" t="s">
        <v>878</v>
      </c>
      <c r="N98" s="23" t="s">
        <v>219</v>
      </c>
      <c r="O98" s="23">
        <v>30000</v>
      </c>
      <c r="P98" s="29" t="s">
        <v>879</v>
      </c>
      <c r="Q98" s="23" t="s">
        <v>1260</v>
      </c>
      <c r="R98" s="23"/>
      <c r="S98" s="23" t="s">
        <v>892</v>
      </c>
    </row>
    <row r="99" spans="1:19" ht="28.8" x14ac:dyDescent="0.3">
      <c r="A99" s="23" t="s">
        <v>1261</v>
      </c>
      <c r="B99" s="23" t="s">
        <v>189</v>
      </c>
      <c r="C99" s="23" t="s">
        <v>80</v>
      </c>
      <c r="D99" s="23" t="s">
        <v>1122</v>
      </c>
      <c r="E99" s="23" t="s">
        <v>190</v>
      </c>
      <c r="F99" s="23" t="s">
        <v>192</v>
      </c>
      <c r="G99" s="23" t="s">
        <v>88</v>
      </c>
      <c r="H99" s="24" t="s">
        <v>97</v>
      </c>
      <c r="I99" s="24" t="s">
        <v>96</v>
      </c>
      <c r="J99" s="23" t="s">
        <v>1259</v>
      </c>
      <c r="K99" s="25" t="s">
        <v>1262</v>
      </c>
      <c r="L99" s="23" t="s">
        <v>1263</v>
      </c>
      <c r="M99" s="23" t="s">
        <v>885</v>
      </c>
      <c r="N99" s="23" t="s">
        <v>131</v>
      </c>
      <c r="O99" s="23">
        <v>30000</v>
      </c>
      <c r="P99" s="29" t="s">
        <v>879</v>
      </c>
      <c r="Q99" s="23" t="s">
        <v>1264</v>
      </c>
      <c r="R99" s="23"/>
      <c r="S99" s="23" t="s">
        <v>931</v>
      </c>
    </row>
    <row r="100" spans="1:19" ht="28.8" x14ac:dyDescent="0.3">
      <c r="A100" s="23" t="s">
        <v>1265</v>
      </c>
      <c r="B100" s="23" t="s">
        <v>189</v>
      </c>
      <c r="C100" s="23" t="s">
        <v>80</v>
      </c>
      <c r="D100" s="23" t="s">
        <v>1122</v>
      </c>
      <c r="E100" s="23" t="s">
        <v>190</v>
      </c>
      <c r="F100" s="23" t="s">
        <v>192</v>
      </c>
      <c r="G100" s="23" t="s">
        <v>88</v>
      </c>
      <c r="H100" s="24" t="s">
        <v>97</v>
      </c>
      <c r="I100" s="24" t="s">
        <v>96</v>
      </c>
      <c r="J100" s="23" t="s">
        <v>1263</v>
      </c>
      <c r="K100" s="25" t="s">
        <v>1266</v>
      </c>
      <c r="L100" s="23" t="s">
        <v>1267</v>
      </c>
      <c r="M100" s="23" t="s">
        <v>902</v>
      </c>
      <c r="N100" s="23" t="s">
        <v>168</v>
      </c>
      <c r="O100" s="23">
        <v>20000</v>
      </c>
      <c r="P100" s="29" t="s">
        <v>879</v>
      </c>
      <c r="Q100" s="23" t="s">
        <v>1268</v>
      </c>
      <c r="R100" s="23"/>
      <c r="S100" s="23" t="s">
        <v>926</v>
      </c>
    </row>
    <row r="101" spans="1:19" ht="28.8" x14ac:dyDescent="0.3">
      <c r="A101" s="23" t="s">
        <v>1269</v>
      </c>
      <c r="B101" s="23" t="s">
        <v>189</v>
      </c>
      <c r="C101" s="23" t="s">
        <v>80</v>
      </c>
      <c r="D101" s="23" t="s">
        <v>1122</v>
      </c>
      <c r="E101" s="23" t="s">
        <v>190</v>
      </c>
      <c r="F101" s="23" t="s">
        <v>192</v>
      </c>
      <c r="G101" s="23" t="s">
        <v>88</v>
      </c>
      <c r="H101" s="24" t="s">
        <v>97</v>
      </c>
      <c r="I101" s="24" t="s">
        <v>96</v>
      </c>
      <c r="J101" s="23" t="s">
        <v>1267</v>
      </c>
      <c r="K101" s="25" t="s">
        <v>1270</v>
      </c>
      <c r="L101" s="23" t="s">
        <v>1271</v>
      </c>
      <c r="M101" s="23" t="s">
        <v>885</v>
      </c>
      <c r="N101" s="23" t="s">
        <v>920</v>
      </c>
      <c r="O101" s="23">
        <v>25000</v>
      </c>
      <c r="P101" s="29" t="s">
        <v>879</v>
      </c>
      <c r="Q101" s="23" t="s">
        <v>1272</v>
      </c>
      <c r="R101" s="23"/>
      <c r="S101" s="23" t="s">
        <v>939</v>
      </c>
    </row>
    <row r="102" spans="1:19" ht="28.8" x14ac:dyDescent="0.3">
      <c r="A102" s="23" t="s">
        <v>1273</v>
      </c>
      <c r="B102" s="23" t="s">
        <v>189</v>
      </c>
      <c r="C102" s="23" t="s">
        <v>80</v>
      </c>
      <c r="D102" s="23" t="s">
        <v>1122</v>
      </c>
      <c r="E102" s="23" t="s">
        <v>190</v>
      </c>
      <c r="F102" s="23" t="s">
        <v>192</v>
      </c>
      <c r="G102" s="23" t="s">
        <v>88</v>
      </c>
      <c r="H102" s="24" t="s">
        <v>97</v>
      </c>
      <c r="I102" s="24" t="s">
        <v>96</v>
      </c>
      <c r="J102" s="23" t="s">
        <v>1271</v>
      </c>
      <c r="K102" s="25" t="s">
        <v>1274</v>
      </c>
      <c r="L102" s="23" t="s">
        <v>1275</v>
      </c>
      <c r="M102" s="23" t="s">
        <v>878</v>
      </c>
      <c r="N102" s="23" t="s">
        <v>920</v>
      </c>
      <c r="O102" s="23">
        <v>25000</v>
      </c>
      <c r="P102" s="29" t="s">
        <v>879</v>
      </c>
      <c r="Q102" s="23" t="s">
        <v>1276</v>
      </c>
      <c r="R102" s="23"/>
      <c r="S102" s="23" t="s">
        <v>904</v>
      </c>
    </row>
    <row r="103" spans="1:19" ht="28.8" x14ac:dyDescent="0.3">
      <c r="A103" s="23" t="s">
        <v>1277</v>
      </c>
      <c r="B103" s="23" t="s">
        <v>189</v>
      </c>
      <c r="C103" s="23" t="s">
        <v>80</v>
      </c>
      <c r="D103" s="23" t="s">
        <v>1122</v>
      </c>
      <c r="E103" s="23" t="s">
        <v>190</v>
      </c>
      <c r="F103" s="23" t="s">
        <v>192</v>
      </c>
      <c r="G103" s="23" t="s">
        <v>88</v>
      </c>
      <c r="H103" s="24" t="s">
        <v>97</v>
      </c>
      <c r="I103" s="24" t="s">
        <v>96</v>
      </c>
      <c r="J103" s="23" t="s">
        <v>1275</v>
      </c>
      <c r="K103" s="25" t="s">
        <v>1278</v>
      </c>
      <c r="L103" s="23" t="s">
        <v>1279</v>
      </c>
      <c r="M103" s="23" t="s">
        <v>885</v>
      </c>
      <c r="N103" s="23" t="s">
        <v>111</v>
      </c>
      <c r="O103" s="23">
        <v>15000</v>
      </c>
      <c r="P103" s="29" t="s">
        <v>879</v>
      </c>
      <c r="Q103" s="23" t="s">
        <v>1280</v>
      </c>
      <c r="R103" s="23"/>
      <c r="S103" s="23" t="s">
        <v>904</v>
      </c>
    </row>
    <row r="104" spans="1:19" ht="28.8" x14ac:dyDescent="0.3">
      <c r="A104" s="23" t="s">
        <v>1281</v>
      </c>
      <c r="B104" s="23" t="s">
        <v>189</v>
      </c>
      <c r="C104" s="23" t="s">
        <v>80</v>
      </c>
      <c r="D104" s="23" t="s">
        <v>1122</v>
      </c>
      <c r="E104" s="23" t="s">
        <v>190</v>
      </c>
      <c r="F104" s="23" t="s">
        <v>192</v>
      </c>
      <c r="G104" s="23" t="s">
        <v>88</v>
      </c>
      <c r="H104" s="24" t="s">
        <v>97</v>
      </c>
      <c r="I104" s="24" t="s">
        <v>96</v>
      </c>
      <c r="J104" s="23" t="s">
        <v>1282</v>
      </c>
      <c r="K104" s="25" t="s">
        <v>1283</v>
      </c>
      <c r="L104" s="23" t="s">
        <v>1284</v>
      </c>
      <c r="M104" s="23" t="s">
        <v>902</v>
      </c>
      <c r="N104" s="23" t="s">
        <v>131</v>
      </c>
      <c r="O104" s="23">
        <v>30000</v>
      </c>
      <c r="P104" s="29" t="s">
        <v>879</v>
      </c>
      <c r="Q104" s="23" t="s">
        <v>1285</v>
      </c>
      <c r="R104" s="23"/>
      <c r="S104" s="23" t="s">
        <v>887</v>
      </c>
    </row>
    <row r="105" spans="1:19" ht="28.8" x14ac:dyDescent="0.3">
      <c r="A105" s="23" t="s">
        <v>1286</v>
      </c>
      <c r="B105" s="23" t="s">
        <v>189</v>
      </c>
      <c r="C105" s="23" t="s">
        <v>80</v>
      </c>
      <c r="D105" s="23" t="s">
        <v>1122</v>
      </c>
      <c r="E105" s="23" t="s">
        <v>190</v>
      </c>
      <c r="F105" s="23" t="s">
        <v>192</v>
      </c>
      <c r="G105" s="23" t="s">
        <v>88</v>
      </c>
      <c r="H105" s="24" t="s">
        <v>97</v>
      </c>
      <c r="I105" s="24" t="s">
        <v>96</v>
      </c>
      <c r="J105" s="23" t="s">
        <v>1284</v>
      </c>
      <c r="K105" s="25" t="s">
        <v>1284</v>
      </c>
      <c r="L105" s="23" t="s">
        <v>218</v>
      </c>
      <c r="M105" s="23" t="s">
        <v>885</v>
      </c>
      <c r="N105" s="23" t="s">
        <v>920</v>
      </c>
      <c r="O105" s="23">
        <v>15000</v>
      </c>
      <c r="P105" s="29" t="s">
        <v>879</v>
      </c>
      <c r="Q105" s="23" t="s">
        <v>1287</v>
      </c>
      <c r="R105" s="23"/>
      <c r="S105" s="23" t="s">
        <v>898</v>
      </c>
    </row>
    <row r="106" spans="1:19" ht="28.8" x14ac:dyDescent="0.3">
      <c r="A106" s="23" t="s">
        <v>1288</v>
      </c>
      <c r="B106" s="23" t="s">
        <v>189</v>
      </c>
      <c r="C106" s="23" t="s">
        <v>80</v>
      </c>
      <c r="D106" s="23" t="s">
        <v>1122</v>
      </c>
      <c r="E106" s="23" t="s">
        <v>190</v>
      </c>
      <c r="F106" s="23" t="s">
        <v>192</v>
      </c>
      <c r="G106" s="23" t="s">
        <v>88</v>
      </c>
      <c r="H106" s="24" t="s">
        <v>97</v>
      </c>
      <c r="I106" s="24" t="s">
        <v>96</v>
      </c>
      <c r="J106" s="23" t="s">
        <v>218</v>
      </c>
      <c r="K106" s="25" t="s">
        <v>196</v>
      </c>
      <c r="L106" s="23" t="s">
        <v>197</v>
      </c>
      <c r="M106" s="23" t="s">
        <v>885</v>
      </c>
      <c r="N106" s="23" t="s">
        <v>111</v>
      </c>
      <c r="O106" s="23">
        <v>15000</v>
      </c>
      <c r="P106" s="29" t="s">
        <v>879</v>
      </c>
      <c r="Q106" s="23" t="s">
        <v>1289</v>
      </c>
      <c r="R106" s="23"/>
      <c r="S106" s="23" t="s">
        <v>898</v>
      </c>
    </row>
    <row r="107" spans="1:19" ht="28.8" x14ac:dyDescent="0.3">
      <c r="A107" s="23" t="s">
        <v>1290</v>
      </c>
      <c r="B107" s="23" t="s">
        <v>189</v>
      </c>
      <c r="C107" s="23" t="s">
        <v>80</v>
      </c>
      <c r="D107" s="23" t="s">
        <v>1122</v>
      </c>
      <c r="E107" s="23" t="s">
        <v>190</v>
      </c>
      <c r="F107" s="23" t="s">
        <v>192</v>
      </c>
      <c r="G107" s="23" t="s">
        <v>88</v>
      </c>
      <c r="H107" s="24" t="s">
        <v>97</v>
      </c>
      <c r="I107" s="24" t="s">
        <v>96</v>
      </c>
      <c r="J107" s="23" t="s">
        <v>197</v>
      </c>
      <c r="K107" s="25"/>
      <c r="L107" s="23" t="s">
        <v>1291</v>
      </c>
      <c r="M107" s="23" t="s">
        <v>885</v>
      </c>
      <c r="N107" s="23" t="s">
        <v>920</v>
      </c>
      <c r="O107" s="23">
        <v>0</v>
      </c>
      <c r="P107" s="30" t="s">
        <v>948</v>
      </c>
      <c r="Q107" s="23" t="s">
        <v>1292</v>
      </c>
      <c r="R107" s="23"/>
      <c r="S107" s="23" t="s">
        <v>1066</v>
      </c>
    </row>
    <row r="108" spans="1:19" ht="28.8" x14ac:dyDescent="0.3">
      <c r="A108" s="23" t="s">
        <v>1293</v>
      </c>
      <c r="B108" s="23" t="s">
        <v>204</v>
      </c>
      <c r="C108" s="23" t="s">
        <v>80</v>
      </c>
      <c r="D108" s="23" t="s">
        <v>756</v>
      </c>
      <c r="E108" s="23" t="s">
        <v>206</v>
      </c>
      <c r="F108" s="23" t="s">
        <v>208</v>
      </c>
      <c r="G108" s="23" t="s">
        <v>88</v>
      </c>
      <c r="H108" s="24" t="s">
        <v>97</v>
      </c>
      <c r="I108" s="24" t="s">
        <v>96</v>
      </c>
      <c r="J108" s="23" t="s">
        <v>1294</v>
      </c>
      <c r="K108" s="25" t="s">
        <v>1295</v>
      </c>
      <c r="L108" s="23" t="s">
        <v>298</v>
      </c>
      <c r="M108" s="23" t="s">
        <v>890</v>
      </c>
      <c r="N108" s="23" t="s">
        <v>920</v>
      </c>
      <c r="O108" s="23">
        <v>30000</v>
      </c>
      <c r="P108" s="29" t="s">
        <v>879</v>
      </c>
      <c r="Q108" s="23" t="s">
        <v>1296</v>
      </c>
      <c r="R108" s="23"/>
      <c r="S108" s="23" t="s">
        <v>892</v>
      </c>
    </row>
    <row r="109" spans="1:19" ht="28.8" x14ac:dyDescent="0.3">
      <c r="A109" s="23" t="s">
        <v>1297</v>
      </c>
      <c r="B109" s="23" t="s">
        <v>204</v>
      </c>
      <c r="C109" s="23" t="s">
        <v>80</v>
      </c>
      <c r="D109" s="23" t="s">
        <v>756</v>
      </c>
      <c r="E109" s="23" t="s">
        <v>206</v>
      </c>
      <c r="F109" s="23" t="s">
        <v>208</v>
      </c>
      <c r="G109" s="23" t="s">
        <v>88</v>
      </c>
      <c r="H109" s="24" t="s">
        <v>97</v>
      </c>
      <c r="I109" s="24" t="s">
        <v>96</v>
      </c>
      <c r="J109" s="23" t="s">
        <v>1298</v>
      </c>
      <c r="K109" s="25" t="s">
        <v>1298</v>
      </c>
      <c r="L109" s="23" t="s">
        <v>1299</v>
      </c>
      <c r="M109" s="23" t="s">
        <v>890</v>
      </c>
      <c r="N109" s="23" t="s">
        <v>219</v>
      </c>
      <c r="O109" s="23">
        <v>30000</v>
      </c>
      <c r="P109" s="29" t="s">
        <v>879</v>
      </c>
      <c r="Q109" s="23" t="s">
        <v>1300</v>
      </c>
      <c r="R109" s="23"/>
      <c r="S109" s="23" t="s">
        <v>898</v>
      </c>
    </row>
    <row r="110" spans="1:19" ht="28.8" x14ac:dyDescent="0.3">
      <c r="A110" s="23" t="s">
        <v>1301</v>
      </c>
      <c r="B110" s="23" t="s">
        <v>204</v>
      </c>
      <c r="C110" s="23" t="s">
        <v>80</v>
      </c>
      <c r="D110" s="23" t="s">
        <v>756</v>
      </c>
      <c r="E110" s="23" t="s">
        <v>206</v>
      </c>
      <c r="F110" s="23" t="s">
        <v>208</v>
      </c>
      <c r="G110" s="23" t="s">
        <v>88</v>
      </c>
      <c r="H110" s="24" t="s">
        <v>97</v>
      </c>
      <c r="I110" s="24" t="s">
        <v>96</v>
      </c>
      <c r="J110" s="23" t="s">
        <v>1299</v>
      </c>
      <c r="K110" s="25" t="s">
        <v>1302</v>
      </c>
      <c r="L110" s="23" t="s">
        <v>1303</v>
      </c>
      <c r="M110" s="23" t="s">
        <v>885</v>
      </c>
      <c r="N110" s="23" t="s">
        <v>219</v>
      </c>
      <c r="O110" s="23">
        <v>25000</v>
      </c>
      <c r="P110" s="29" t="s">
        <v>879</v>
      </c>
      <c r="Q110" s="23" t="s">
        <v>1304</v>
      </c>
      <c r="R110" s="23"/>
      <c r="S110" s="23" t="s">
        <v>926</v>
      </c>
    </row>
    <row r="111" spans="1:19" ht="28.8" x14ac:dyDescent="0.3">
      <c r="A111" s="23" t="s">
        <v>1305</v>
      </c>
      <c r="B111" s="23" t="s">
        <v>204</v>
      </c>
      <c r="C111" s="23" t="s">
        <v>80</v>
      </c>
      <c r="D111" s="23" t="s">
        <v>756</v>
      </c>
      <c r="E111" s="23" t="s">
        <v>206</v>
      </c>
      <c r="F111" s="23" t="s">
        <v>208</v>
      </c>
      <c r="G111" s="23" t="s">
        <v>88</v>
      </c>
      <c r="H111" s="24" t="s">
        <v>97</v>
      </c>
      <c r="I111" s="24" t="s">
        <v>96</v>
      </c>
      <c r="J111" s="23" t="s">
        <v>1303</v>
      </c>
      <c r="K111" s="25" t="s">
        <v>1306</v>
      </c>
      <c r="L111" s="23" t="s">
        <v>1307</v>
      </c>
      <c r="M111" s="23" t="s">
        <v>885</v>
      </c>
      <c r="N111" s="23" t="s">
        <v>131</v>
      </c>
      <c r="O111" s="23">
        <v>20000</v>
      </c>
      <c r="P111" s="29" t="s">
        <v>879</v>
      </c>
      <c r="Q111" s="23" t="s">
        <v>1308</v>
      </c>
      <c r="R111" s="23"/>
      <c r="S111" s="23" t="s">
        <v>939</v>
      </c>
    </row>
    <row r="112" spans="1:19" ht="28.8" x14ac:dyDescent="0.3">
      <c r="A112" s="23" t="s">
        <v>1309</v>
      </c>
      <c r="B112" s="23" t="s">
        <v>204</v>
      </c>
      <c r="C112" s="23" t="s">
        <v>80</v>
      </c>
      <c r="D112" s="23" t="s">
        <v>756</v>
      </c>
      <c r="E112" s="23" t="s">
        <v>206</v>
      </c>
      <c r="F112" s="23" t="s">
        <v>208</v>
      </c>
      <c r="G112" s="23" t="s">
        <v>88</v>
      </c>
      <c r="H112" s="24" t="s">
        <v>97</v>
      </c>
      <c r="I112" s="24" t="s">
        <v>96</v>
      </c>
      <c r="J112" s="23" t="s">
        <v>1307</v>
      </c>
      <c r="K112" s="25" t="s">
        <v>1310</v>
      </c>
      <c r="L112" s="23" t="s">
        <v>1311</v>
      </c>
      <c r="M112" s="23" t="s">
        <v>885</v>
      </c>
      <c r="N112" s="23" t="s">
        <v>168</v>
      </c>
      <c r="O112" s="23">
        <v>30000</v>
      </c>
      <c r="P112" s="29" t="s">
        <v>879</v>
      </c>
      <c r="Q112" s="23" t="s">
        <v>1312</v>
      </c>
      <c r="R112" s="23"/>
      <c r="S112" s="23" t="s">
        <v>887</v>
      </c>
    </row>
    <row r="113" spans="1:19" ht="28.8" x14ac:dyDescent="0.3">
      <c r="A113" s="23" t="s">
        <v>1313</v>
      </c>
      <c r="B113" s="23" t="s">
        <v>204</v>
      </c>
      <c r="C113" s="23" t="s">
        <v>80</v>
      </c>
      <c r="D113" s="23" t="s">
        <v>756</v>
      </c>
      <c r="E113" s="23" t="s">
        <v>206</v>
      </c>
      <c r="F113" s="23" t="s">
        <v>208</v>
      </c>
      <c r="G113" s="23" t="s">
        <v>88</v>
      </c>
      <c r="H113" s="24" t="s">
        <v>97</v>
      </c>
      <c r="I113" s="24" t="s">
        <v>96</v>
      </c>
      <c r="J113" s="23" t="s">
        <v>1311</v>
      </c>
      <c r="K113" s="25" t="s">
        <v>1314</v>
      </c>
      <c r="L113" s="23" t="s">
        <v>1315</v>
      </c>
      <c r="M113" s="23" t="s">
        <v>885</v>
      </c>
      <c r="N113" s="23" t="s">
        <v>929</v>
      </c>
      <c r="O113" s="23">
        <v>15000</v>
      </c>
      <c r="P113" s="29" t="s">
        <v>879</v>
      </c>
      <c r="Q113" s="23" t="s">
        <v>1316</v>
      </c>
      <c r="R113" s="23"/>
      <c r="S113" s="23" t="s">
        <v>931</v>
      </c>
    </row>
    <row r="114" spans="1:19" ht="28.8" x14ac:dyDescent="0.3">
      <c r="A114" s="23" t="s">
        <v>1317</v>
      </c>
      <c r="B114" s="23" t="s">
        <v>204</v>
      </c>
      <c r="C114" s="23" t="s">
        <v>80</v>
      </c>
      <c r="D114" s="23" t="s">
        <v>756</v>
      </c>
      <c r="E114" s="23" t="s">
        <v>206</v>
      </c>
      <c r="F114" s="23" t="s">
        <v>208</v>
      </c>
      <c r="G114" s="23" t="s">
        <v>88</v>
      </c>
      <c r="H114" s="24" t="s">
        <v>97</v>
      </c>
      <c r="I114" s="24" t="s">
        <v>96</v>
      </c>
      <c r="J114" s="23" t="s">
        <v>1315</v>
      </c>
      <c r="K114" s="25" t="s">
        <v>1318</v>
      </c>
      <c r="L114" s="23" t="s">
        <v>256</v>
      </c>
      <c r="M114" s="23" t="s">
        <v>890</v>
      </c>
      <c r="N114" s="23" t="s">
        <v>896</v>
      </c>
      <c r="O114" s="23">
        <v>30000</v>
      </c>
      <c r="P114" s="29" t="s">
        <v>879</v>
      </c>
      <c r="Q114" s="23" t="s">
        <v>1319</v>
      </c>
      <c r="R114" s="23"/>
      <c r="S114" s="23" t="s">
        <v>904</v>
      </c>
    </row>
    <row r="115" spans="1:19" ht="28.8" x14ac:dyDescent="0.3">
      <c r="A115" s="23" t="s">
        <v>1320</v>
      </c>
      <c r="B115" s="23" t="s">
        <v>204</v>
      </c>
      <c r="C115" s="23" t="s">
        <v>80</v>
      </c>
      <c r="D115" s="23" t="s">
        <v>756</v>
      </c>
      <c r="E115" s="23" t="s">
        <v>206</v>
      </c>
      <c r="F115" s="23" t="s">
        <v>208</v>
      </c>
      <c r="G115" s="23" t="s">
        <v>88</v>
      </c>
      <c r="H115" s="24" t="s">
        <v>97</v>
      </c>
      <c r="I115" s="24" t="s">
        <v>96</v>
      </c>
      <c r="J115" s="23" t="s">
        <v>256</v>
      </c>
      <c r="K115" s="25" t="s">
        <v>1321</v>
      </c>
      <c r="L115" s="23" t="s">
        <v>1322</v>
      </c>
      <c r="M115" s="23" t="s">
        <v>902</v>
      </c>
      <c r="N115" s="23" t="s">
        <v>168</v>
      </c>
      <c r="O115" s="23">
        <v>30000</v>
      </c>
      <c r="P115" s="29" t="s">
        <v>879</v>
      </c>
      <c r="Q115" s="23" t="s">
        <v>1323</v>
      </c>
      <c r="R115" s="23"/>
      <c r="S115" s="23" t="s">
        <v>931</v>
      </c>
    </row>
    <row r="116" spans="1:19" ht="28.8" x14ac:dyDescent="0.3">
      <c r="A116" s="23" t="s">
        <v>1324</v>
      </c>
      <c r="B116" s="23" t="s">
        <v>204</v>
      </c>
      <c r="C116" s="23" t="s">
        <v>80</v>
      </c>
      <c r="D116" s="23" t="s">
        <v>756</v>
      </c>
      <c r="E116" s="23" t="s">
        <v>206</v>
      </c>
      <c r="F116" s="23" t="s">
        <v>208</v>
      </c>
      <c r="G116" s="23" t="s">
        <v>88</v>
      </c>
      <c r="H116" s="24" t="s">
        <v>97</v>
      </c>
      <c r="I116" s="24" t="s">
        <v>96</v>
      </c>
      <c r="J116" s="23" t="s">
        <v>1322</v>
      </c>
      <c r="K116" s="25" t="s">
        <v>1325</v>
      </c>
      <c r="L116" s="23" t="s">
        <v>617</v>
      </c>
      <c r="M116" s="23" t="s">
        <v>878</v>
      </c>
      <c r="N116" s="23" t="s">
        <v>896</v>
      </c>
      <c r="O116" s="23">
        <v>25000</v>
      </c>
      <c r="P116" s="29" t="s">
        <v>879</v>
      </c>
      <c r="Q116" s="23" t="s">
        <v>1326</v>
      </c>
      <c r="R116" s="23"/>
      <c r="S116" s="23" t="s">
        <v>904</v>
      </c>
    </row>
    <row r="117" spans="1:19" ht="28.8" x14ac:dyDescent="0.3">
      <c r="A117" s="23" t="s">
        <v>1327</v>
      </c>
      <c r="B117" s="23" t="s">
        <v>204</v>
      </c>
      <c r="C117" s="23" t="s">
        <v>80</v>
      </c>
      <c r="D117" s="23" t="s">
        <v>756</v>
      </c>
      <c r="E117" s="23" t="s">
        <v>206</v>
      </c>
      <c r="F117" s="23" t="s">
        <v>208</v>
      </c>
      <c r="G117" s="23" t="s">
        <v>88</v>
      </c>
      <c r="H117" s="24" t="s">
        <v>97</v>
      </c>
      <c r="I117" s="24" t="s">
        <v>96</v>
      </c>
      <c r="J117" s="23" t="s">
        <v>617</v>
      </c>
      <c r="K117" s="25" t="s">
        <v>212</v>
      </c>
      <c r="L117" s="23" t="s">
        <v>213</v>
      </c>
      <c r="M117" s="23" t="s">
        <v>878</v>
      </c>
      <c r="N117" s="23" t="s">
        <v>929</v>
      </c>
      <c r="O117" s="23">
        <v>30000</v>
      </c>
      <c r="P117" s="29" t="s">
        <v>879</v>
      </c>
      <c r="Q117" s="23" t="s">
        <v>1328</v>
      </c>
      <c r="R117" s="23"/>
      <c r="S117" s="23" t="s">
        <v>881</v>
      </c>
    </row>
    <row r="118" spans="1:19" ht="28.8" x14ac:dyDescent="0.3">
      <c r="A118" s="23" t="s">
        <v>1329</v>
      </c>
      <c r="B118" s="23" t="s">
        <v>204</v>
      </c>
      <c r="C118" s="23" t="s">
        <v>80</v>
      </c>
      <c r="D118" s="23" t="s">
        <v>756</v>
      </c>
      <c r="E118" s="23" t="s">
        <v>206</v>
      </c>
      <c r="F118" s="23" t="s">
        <v>208</v>
      </c>
      <c r="G118" s="23" t="s">
        <v>88</v>
      </c>
      <c r="H118" s="24" t="s">
        <v>97</v>
      </c>
      <c r="I118" s="24" t="s">
        <v>96</v>
      </c>
      <c r="J118" s="23" t="s">
        <v>213</v>
      </c>
      <c r="K118" s="25"/>
      <c r="L118" s="23" t="s">
        <v>1330</v>
      </c>
      <c r="M118" s="23" t="s">
        <v>890</v>
      </c>
      <c r="N118" s="23" t="s">
        <v>920</v>
      </c>
      <c r="O118" s="23">
        <v>0</v>
      </c>
      <c r="P118" s="31" t="s">
        <v>1331</v>
      </c>
      <c r="Q118" s="23" t="s">
        <v>1332</v>
      </c>
      <c r="R118" s="23" t="s">
        <v>1333</v>
      </c>
      <c r="S118" s="23" t="s">
        <v>1334</v>
      </c>
    </row>
    <row r="119" spans="1:19" ht="28.8" x14ac:dyDescent="0.3">
      <c r="A119" s="23" t="s">
        <v>1335</v>
      </c>
      <c r="B119" s="23" t="s">
        <v>221</v>
      </c>
      <c r="C119" s="23" t="s">
        <v>80</v>
      </c>
      <c r="D119" s="23" t="s">
        <v>1336</v>
      </c>
      <c r="E119" s="23" t="s">
        <v>223</v>
      </c>
      <c r="F119" s="23" t="s">
        <v>225</v>
      </c>
      <c r="G119" s="23" t="s">
        <v>88</v>
      </c>
      <c r="H119" s="24" t="s">
        <v>97</v>
      </c>
      <c r="I119" s="24" t="s">
        <v>96</v>
      </c>
      <c r="J119" s="23" t="s">
        <v>1337</v>
      </c>
      <c r="K119" s="25" t="s">
        <v>91</v>
      </c>
      <c r="L119" s="23" t="s">
        <v>1338</v>
      </c>
      <c r="M119" s="23" t="s">
        <v>902</v>
      </c>
      <c r="N119" s="23" t="s">
        <v>920</v>
      </c>
      <c r="O119" s="23">
        <v>15000</v>
      </c>
      <c r="P119" s="29" t="s">
        <v>879</v>
      </c>
      <c r="Q119" s="23" t="s">
        <v>1339</v>
      </c>
      <c r="R119" s="23"/>
      <c r="S119" s="23" t="s">
        <v>892</v>
      </c>
    </row>
    <row r="120" spans="1:19" ht="28.8" x14ac:dyDescent="0.3">
      <c r="A120" s="23" t="s">
        <v>1340</v>
      </c>
      <c r="B120" s="23" t="s">
        <v>221</v>
      </c>
      <c r="C120" s="23" t="s">
        <v>80</v>
      </c>
      <c r="D120" s="23" t="s">
        <v>1336</v>
      </c>
      <c r="E120" s="23" t="s">
        <v>223</v>
      </c>
      <c r="F120" s="23" t="s">
        <v>225</v>
      </c>
      <c r="G120" s="23" t="s">
        <v>88</v>
      </c>
      <c r="H120" s="24" t="s">
        <v>97</v>
      </c>
      <c r="I120" s="24" t="s">
        <v>96</v>
      </c>
      <c r="J120" s="23" t="s">
        <v>1338</v>
      </c>
      <c r="K120" s="25" t="s">
        <v>1341</v>
      </c>
      <c r="L120" s="23" t="s">
        <v>1342</v>
      </c>
      <c r="M120" s="23" t="s">
        <v>885</v>
      </c>
      <c r="N120" s="23" t="s">
        <v>920</v>
      </c>
      <c r="O120" s="23">
        <v>20000</v>
      </c>
      <c r="P120" s="29" t="s">
        <v>879</v>
      </c>
      <c r="Q120" s="23" t="s">
        <v>1343</v>
      </c>
      <c r="R120" s="23"/>
      <c r="S120" s="23" t="s">
        <v>881</v>
      </c>
    </row>
    <row r="121" spans="1:19" ht="28.8" x14ac:dyDescent="0.3">
      <c r="A121" s="23" t="s">
        <v>1344</v>
      </c>
      <c r="B121" s="23" t="s">
        <v>221</v>
      </c>
      <c r="C121" s="23" t="s">
        <v>80</v>
      </c>
      <c r="D121" s="23" t="s">
        <v>1336</v>
      </c>
      <c r="E121" s="23" t="s">
        <v>223</v>
      </c>
      <c r="F121" s="23" t="s">
        <v>225</v>
      </c>
      <c r="G121" s="23" t="s">
        <v>88</v>
      </c>
      <c r="H121" s="24" t="s">
        <v>97</v>
      </c>
      <c r="I121" s="24" t="s">
        <v>96</v>
      </c>
      <c r="J121" s="23" t="s">
        <v>1342</v>
      </c>
      <c r="K121" s="25" t="s">
        <v>1345</v>
      </c>
      <c r="L121" s="23" t="s">
        <v>1346</v>
      </c>
      <c r="M121" s="23" t="s">
        <v>890</v>
      </c>
      <c r="N121" s="23" t="s">
        <v>920</v>
      </c>
      <c r="O121" s="23">
        <v>30000</v>
      </c>
      <c r="P121" s="29" t="s">
        <v>879</v>
      </c>
      <c r="Q121" s="23" t="s">
        <v>1347</v>
      </c>
      <c r="R121" s="23"/>
      <c r="S121" s="23" t="s">
        <v>939</v>
      </c>
    </row>
    <row r="122" spans="1:19" ht="28.8" x14ac:dyDescent="0.3">
      <c r="A122" s="23" t="s">
        <v>1348</v>
      </c>
      <c r="B122" s="23" t="s">
        <v>221</v>
      </c>
      <c r="C122" s="23" t="s">
        <v>80</v>
      </c>
      <c r="D122" s="23" t="s">
        <v>1336</v>
      </c>
      <c r="E122" s="23" t="s">
        <v>223</v>
      </c>
      <c r="F122" s="23" t="s">
        <v>225</v>
      </c>
      <c r="G122" s="23" t="s">
        <v>88</v>
      </c>
      <c r="H122" s="24" t="s">
        <v>97</v>
      </c>
      <c r="I122" s="24" t="s">
        <v>96</v>
      </c>
      <c r="J122" s="23" t="s">
        <v>1346</v>
      </c>
      <c r="K122" s="25" t="s">
        <v>1349</v>
      </c>
      <c r="L122" s="23" t="s">
        <v>1350</v>
      </c>
      <c r="M122" s="23" t="s">
        <v>902</v>
      </c>
      <c r="N122" s="23" t="s">
        <v>131</v>
      </c>
      <c r="O122" s="23">
        <v>30000</v>
      </c>
      <c r="P122" s="29" t="s">
        <v>879</v>
      </c>
      <c r="Q122" s="23" t="s">
        <v>1351</v>
      </c>
      <c r="R122" s="23" t="s">
        <v>1063</v>
      </c>
      <c r="S122" s="23" t="s">
        <v>898</v>
      </c>
    </row>
    <row r="123" spans="1:19" ht="28.8" x14ac:dyDescent="0.3">
      <c r="A123" s="23" t="s">
        <v>1352</v>
      </c>
      <c r="B123" s="23" t="s">
        <v>221</v>
      </c>
      <c r="C123" s="23" t="s">
        <v>80</v>
      </c>
      <c r="D123" s="23" t="s">
        <v>1336</v>
      </c>
      <c r="E123" s="23" t="s">
        <v>223</v>
      </c>
      <c r="F123" s="23" t="s">
        <v>225</v>
      </c>
      <c r="G123" s="23" t="s">
        <v>88</v>
      </c>
      <c r="H123" s="24" t="s">
        <v>97</v>
      </c>
      <c r="I123" s="24" t="s">
        <v>96</v>
      </c>
      <c r="J123" s="23" t="s">
        <v>1350</v>
      </c>
      <c r="K123" s="25" t="s">
        <v>1353</v>
      </c>
      <c r="L123" s="23" t="s">
        <v>1354</v>
      </c>
      <c r="M123" s="23" t="s">
        <v>885</v>
      </c>
      <c r="N123" s="23" t="s">
        <v>896</v>
      </c>
      <c r="O123" s="23">
        <v>25000</v>
      </c>
      <c r="P123" s="29" t="s">
        <v>879</v>
      </c>
      <c r="Q123" s="23" t="s">
        <v>1355</v>
      </c>
      <c r="R123" s="23"/>
      <c r="S123" s="23" t="s">
        <v>887</v>
      </c>
    </row>
    <row r="124" spans="1:19" ht="28.8" x14ac:dyDescent="0.3">
      <c r="A124" s="23" t="s">
        <v>1356</v>
      </c>
      <c r="B124" s="23" t="s">
        <v>221</v>
      </c>
      <c r="C124" s="23" t="s">
        <v>80</v>
      </c>
      <c r="D124" s="23" t="s">
        <v>1336</v>
      </c>
      <c r="E124" s="23" t="s">
        <v>223</v>
      </c>
      <c r="F124" s="23" t="s">
        <v>225</v>
      </c>
      <c r="G124" s="23" t="s">
        <v>88</v>
      </c>
      <c r="H124" s="24" t="s">
        <v>97</v>
      </c>
      <c r="I124" s="24" t="s">
        <v>96</v>
      </c>
      <c r="J124" s="23" t="s">
        <v>1354</v>
      </c>
      <c r="K124" s="25" t="s">
        <v>1195</v>
      </c>
      <c r="L124" s="23" t="s">
        <v>1357</v>
      </c>
      <c r="M124" s="23" t="s">
        <v>890</v>
      </c>
      <c r="N124" s="23" t="s">
        <v>219</v>
      </c>
      <c r="O124" s="23">
        <v>30000</v>
      </c>
      <c r="P124" s="29" t="s">
        <v>879</v>
      </c>
      <c r="Q124" s="23" t="s">
        <v>1358</v>
      </c>
      <c r="R124" s="23" t="s">
        <v>945</v>
      </c>
      <c r="S124" s="23" t="s">
        <v>892</v>
      </c>
    </row>
    <row r="125" spans="1:19" ht="28.8" x14ac:dyDescent="0.3">
      <c r="A125" s="23" t="s">
        <v>1359</v>
      </c>
      <c r="B125" s="23" t="s">
        <v>221</v>
      </c>
      <c r="C125" s="23" t="s">
        <v>80</v>
      </c>
      <c r="D125" s="23" t="s">
        <v>1336</v>
      </c>
      <c r="E125" s="23" t="s">
        <v>223</v>
      </c>
      <c r="F125" s="23" t="s">
        <v>225</v>
      </c>
      <c r="G125" s="23" t="s">
        <v>88</v>
      </c>
      <c r="H125" s="24" t="s">
        <v>97</v>
      </c>
      <c r="I125" s="24" t="s">
        <v>96</v>
      </c>
      <c r="J125" s="23" t="s">
        <v>1357</v>
      </c>
      <c r="K125" s="25" t="s">
        <v>1360</v>
      </c>
      <c r="L125" s="23" t="s">
        <v>1361</v>
      </c>
      <c r="M125" s="23" t="s">
        <v>902</v>
      </c>
      <c r="N125" s="23" t="s">
        <v>168</v>
      </c>
      <c r="O125" s="23">
        <v>30000</v>
      </c>
      <c r="P125" s="29" t="s">
        <v>879</v>
      </c>
      <c r="Q125" s="23" t="s">
        <v>1362</v>
      </c>
      <c r="R125" s="23"/>
      <c r="S125" s="23" t="s">
        <v>904</v>
      </c>
    </row>
    <row r="126" spans="1:19" ht="28.8" x14ac:dyDescent="0.3">
      <c r="A126" s="23" t="s">
        <v>1363</v>
      </c>
      <c r="B126" s="23" t="s">
        <v>221</v>
      </c>
      <c r="C126" s="23" t="s">
        <v>80</v>
      </c>
      <c r="D126" s="23" t="s">
        <v>1336</v>
      </c>
      <c r="E126" s="23" t="s">
        <v>223</v>
      </c>
      <c r="F126" s="23" t="s">
        <v>225</v>
      </c>
      <c r="G126" s="23" t="s">
        <v>88</v>
      </c>
      <c r="H126" s="24" t="s">
        <v>97</v>
      </c>
      <c r="I126" s="24" t="s">
        <v>96</v>
      </c>
      <c r="J126" s="23" t="s">
        <v>1361</v>
      </c>
      <c r="K126" s="25" t="s">
        <v>1364</v>
      </c>
      <c r="L126" s="23" t="s">
        <v>1365</v>
      </c>
      <c r="M126" s="23" t="s">
        <v>890</v>
      </c>
      <c r="N126" s="23" t="s">
        <v>929</v>
      </c>
      <c r="O126" s="23">
        <v>15000</v>
      </c>
      <c r="P126" s="29" t="s">
        <v>879</v>
      </c>
      <c r="Q126" s="23" t="s">
        <v>1366</v>
      </c>
      <c r="R126" s="23" t="s">
        <v>1063</v>
      </c>
      <c r="S126" s="23" t="s">
        <v>939</v>
      </c>
    </row>
    <row r="127" spans="1:19" ht="28.8" x14ac:dyDescent="0.3">
      <c r="A127" s="23" t="s">
        <v>1367</v>
      </c>
      <c r="B127" s="23" t="s">
        <v>221</v>
      </c>
      <c r="C127" s="23" t="s">
        <v>80</v>
      </c>
      <c r="D127" s="23" t="s">
        <v>1336</v>
      </c>
      <c r="E127" s="23" t="s">
        <v>223</v>
      </c>
      <c r="F127" s="23" t="s">
        <v>225</v>
      </c>
      <c r="G127" s="23" t="s">
        <v>88</v>
      </c>
      <c r="H127" s="24" t="s">
        <v>97</v>
      </c>
      <c r="I127" s="24" t="s">
        <v>96</v>
      </c>
      <c r="J127" s="23" t="s">
        <v>1365</v>
      </c>
      <c r="K127" s="25" t="s">
        <v>1206</v>
      </c>
      <c r="L127" s="23" t="s">
        <v>1368</v>
      </c>
      <c r="M127" s="23" t="s">
        <v>878</v>
      </c>
      <c r="N127" s="23" t="s">
        <v>131</v>
      </c>
      <c r="O127" s="23">
        <v>25000</v>
      </c>
      <c r="P127" s="29" t="s">
        <v>879</v>
      </c>
      <c r="Q127" s="23" t="s">
        <v>1369</v>
      </c>
      <c r="R127" s="23"/>
      <c r="S127" s="23" t="s">
        <v>887</v>
      </c>
    </row>
    <row r="128" spans="1:19" ht="28.8" x14ac:dyDescent="0.3">
      <c r="A128" s="23" t="s">
        <v>1370</v>
      </c>
      <c r="B128" s="23" t="s">
        <v>221</v>
      </c>
      <c r="C128" s="23" t="s">
        <v>80</v>
      </c>
      <c r="D128" s="23" t="s">
        <v>1336</v>
      </c>
      <c r="E128" s="23" t="s">
        <v>223</v>
      </c>
      <c r="F128" s="23" t="s">
        <v>225</v>
      </c>
      <c r="G128" s="23" t="s">
        <v>88</v>
      </c>
      <c r="H128" s="24" t="s">
        <v>97</v>
      </c>
      <c r="I128" s="24" t="s">
        <v>96</v>
      </c>
      <c r="J128" s="23" t="s">
        <v>1368</v>
      </c>
      <c r="K128" s="25" t="s">
        <v>1371</v>
      </c>
      <c r="L128" s="23" t="s">
        <v>1372</v>
      </c>
      <c r="M128" s="23" t="s">
        <v>878</v>
      </c>
      <c r="N128" s="23" t="s">
        <v>219</v>
      </c>
      <c r="O128" s="23">
        <v>25000</v>
      </c>
      <c r="P128" s="29" t="s">
        <v>879</v>
      </c>
      <c r="Q128" s="23" t="s">
        <v>1373</v>
      </c>
      <c r="R128" s="23"/>
      <c r="S128" s="23" t="s">
        <v>939</v>
      </c>
    </row>
    <row r="129" spans="1:19" ht="28.8" x14ac:dyDescent="0.3">
      <c r="A129" s="23" t="s">
        <v>1374</v>
      </c>
      <c r="B129" s="23" t="s">
        <v>221</v>
      </c>
      <c r="C129" s="23" t="s">
        <v>80</v>
      </c>
      <c r="D129" s="23" t="s">
        <v>1336</v>
      </c>
      <c r="E129" s="23" t="s">
        <v>223</v>
      </c>
      <c r="F129" s="23" t="s">
        <v>225</v>
      </c>
      <c r="G129" s="23" t="s">
        <v>88</v>
      </c>
      <c r="H129" s="24" t="s">
        <v>97</v>
      </c>
      <c r="I129" s="24" t="s">
        <v>96</v>
      </c>
      <c r="J129" s="23" t="s">
        <v>1372</v>
      </c>
      <c r="K129" s="25" t="s">
        <v>1375</v>
      </c>
      <c r="L129" s="23" t="s">
        <v>1376</v>
      </c>
      <c r="M129" s="23" t="s">
        <v>878</v>
      </c>
      <c r="N129" s="23" t="s">
        <v>168</v>
      </c>
      <c r="O129" s="23">
        <v>15000</v>
      </c>
      <c r="P129" s="29" t="s">
        <v>879</v>
      </c>
      <c r="Q129" s="23" t="s">
        <v>1377</v>
      </c>
      <c r="R129" s="23"/>
      <c r="S129" s="23" t="s">
        <v>898</v>
      </c>
    </row>
    <row r="130" spans="1:19" ht="28.8" x14ac:dyDescent="0.3">
      <c r="A130" s="23" t="s">
        <v>1378</v>
      </c>
      <c r="B130" s="23" t="s">
        <v>221</v>
      </c>
      <c r="C130" s="23" t="s">
        <v>80</v>
      </c>
      <c r="D130" s="23" t="s">
        <v>1336</v>
      </c>
      <c r="E130" s="23" t="s">
        <v>223</v>
      </c>
      <c r="F130" s="23" t="s">
        <v>225</v>
      </c>
      <c r="G130" s="23" t="s">
        <v>88</v>
      </c>
      <c r="H130" s="24" t="s">
        <v>97</v>
      </c>
      <c r="I130" s="24" t="s">
        <v>96</v>
      </c>
      <c r="J130" s="23" t="s">
        <v>1376</v>
      </c>
      <c r="K130" s="25" t="s">
        <v>1379</v>
      </c>
      <c r="L130" s="23" t="s">
        <v>1380</v>
      </c>
      <c r="M130" s="23" t="s">
        <v>885</v>
      </c>
      <c r="N130" s="23" t="s">
        <v>111</v>
      </c>
      <c r="O130" s="23">
        <v>25000</v>
      </c>
      <c r="P130" s="29" t="s">
        <v>879</v>
      </c>
      <c r="Q130" s="23" t="s">
        <v>1381</v>
      </c>
      <c r="R130" s="23"/>
      <c r="S130" s="23" t="s">
        <v>926</v>
      </c>
    </row>
    <row r="131" spans="1:19" ht="28.8" x14ac:dyDescent="0.3">
      <c r="A131" s="23" t="s">
        <v>1382</v>
      </c>
      <c r="B131" s="23" t="s">
        <v>221</v>
      </c>
      <c r="C131" s="23" t="s">
        <v>80</v>
      </c>
      <c r="D131" s="23" t="s">
        <v>1336</v>
      </c>
      <c r="E131" s="23" t="s">
        <v>223</v>
      </c>
      <c r="F131" s="23" t="s">
        <v>225</v>
      </c>
      <c r="G131" s="23" t="s">
        <v>88</v>
      </c>
      <c r="H131" s="24" t="s">
        <v>97</v>
      </c>
      <c r="I131" s="24" t="s">
        <v>96</v>
      </c>
      <c r="J131" s="23" t="s">
        <v>1380</v>
      </c>
      <c r="K131" s="25" t="s">
        <v>1216</v>
      </c>
      <c r="L131" s="23" t="s">
        <v>1383</v>
      </c>
      <c r="M131" s="23" t="s">
        <v>878</v>
      </c>
      <c r="N131" s="23" t="s">
        <v>131</v>
      </c>
      <c r="O131" s="23">
        <v>30000</v>
      </c>
      <c r="P131" s="29" t="s">
        <v>879</v>
      </c>
      <c r="Q131" s="23" t="s">
        <v>1384</v>
      </c>
      <c r="R131" s="23"/>
      <c r="S131" s="23" t="s">
        <v>887</v>
      </c>
    </row>
    <row r="132" spans="1:19" ht="28.8" x14ac:dyDescent="0.3">
      <c r="A132" s="23" t="s">
        <v>1385</v>
      </c>
      <c r="B132" s="23" t="s">
        <v>221</v>
      </c>
      <c r="C132" s="23" t="s">
        <v>80</v>
      </c>
      <c r="D132" s="23" t="s">
        <v>1336</v>
      </c>
      <c r="E132" s="23" t="s">
        <v>223</v>
      </c>
      <c r="F132" s="23" t="s">
        <v>225</v>
      </c>
      <c r="G132" s="23" t="s">
        <v>88</v>
      </c>
      <c r="H132" s="24" t="s">
        <v>97</v>
      </c>
      <c r="I132" s="24" t="s">
        <v>96</v>
      </c>
      <c r="J132" s="23" t="s">
        <v>1383</v>
      </c>
      <c r="K132" s="25" t="s">
        <v>1386</v>
      </c>
      <c r="L132" s="23" t="s">
        <v>1387</v>
      </c>
      <c r="M132" s="23" t="s">
        <v>878</v>
      </c>
      <c r="N132" s="23" t="s">
        <v>111</v>
      </c>
      <c r="O132" s="23">
        <v>20000</v>
      </c>
      <c r="P132" s="29" t="s">
        <v>879</v>
      </c>
      <c r="Q132" s="23" t="s">
        <v>1388</v>
      </c>
      <c r="R132" s="23"/>
      <c r="S132" s="23" t="s">
        <v>892</v>
      </c>
    </row>
    <row r="133" spans="1:19" ht="28.8" x14ac:dyDescent="0.3">
      <c r="A133" s="23" t="s">
        <v>1389</v>
      </c>
      <c r="B133" s="23" t="s">
        <v>221</v>
      </c>
      <c r="C133" s="23" t="s">
        <v>80</v>
      </c>
      <c r="D133" s="23" t="s">
        <v>1336</v>
      </c>
      <c r="E133" s="23" t="s">
        <v>223</v>
      </c>
      <c r="F133" s="23" t="s">
        <v>225</v>
      </c>
      <c r="G133" s="23" t="s">
        <v>88</v>
      </c>
      <c r="H133" s="24" t="s">
        <v>97</v>
      </c>
      <c r="I133" s="24" t="s">
        <v>96</v>
      </c>
      <c r="J133" s="23" t="s">
        <v>1387</v>
      </c>
      <c r="K133" s="25" t="s">
        <v>1390</v>
      </c>
      <c r="L133" s="23" t="s">
        <v>331</v>
      </c>
      <c r="M133" s="23" t="s">
        <v>902</v>
      </c>
      <c r="N133" s="23" t="s">
        <v>131</v>
      </c>
      <c r="O133" s="23">
        <v>25000</v>
      </c>
      <c r="P133" s="29" t="s">
        <v>879</v>
      </c>
      <c r="Q133" s="23" t="s">
        <v>1391</v>
      </c>
      <c r="R133" s="23"/>
      <c r="S133" s="23" t="s">
        <v>881</v>
      </c>
    </row>
    <row r="134" spans="1:19" ht="28.8" x14ac:dyDescent="0.3">
      <c r="A134" s="23" t="s">
        <v>1392</v>
      </c>
      <c r="B134" s="23" t="s">
        <v>221</v>
      </c>
      <c r="C134" s="23" t="s">
        <v>80</v>
      </c>
      <c r="D134" s="23" t="s">
        <v>1336</v>
      </c>
      <c r="E134" s="23" t="s">
        <v>223</v>
      </c>
      <c r="F134" s="23" t="s">
        <v>225</v>
      </c>
      <c r="G134" s="23" t="s">
        <v>88</v>
      </c>
      <c r="H134" s="24" t="s">
        <v>97</v>
      </c>
      <c r="I134" s="24" t="s">
        <v>96</v>
      </c>
      <c r="J134" s="23" t="s">
        <v>331</v>
      </c>
      <c r="K134" s="25" t="s">
        <v>229</v>
      </c>
      <c r="L134" s="23" t="s">
        <v>230</v>
      </c>
      <c r="M134" s="23" t="s">
        <v>885</v>
      </c>
      <c r="N134" s="23" t="s">
        <v>929</v>
      </c>
      <c r="O134" s="23">
        <v>25000</v>
      </c>
      <c r="P134" s="29" t="s">
        <v>879</v>
      </c>
      <c r="Q134" s="23" t="s">
        <v>1393</v>
      </c>
      <c r="R134" s="23"/>
      <c r="S134" s="23" t="s">
        <v>898</v>
      </c>
    </row>
    <row r="135" spans="1:19" ht="28.8" x14ac:dyDescent="0.3">
      <c r="A135" s="23" t="s">
        <v>1394</v>
      </c>
      <c r="B135" s="23" t="s">
        <v>221</v>
      </c>
      <c r="C135" s="23" t="s">
        <v>80</v>
      </c>
      <c r="D135" s="23" t="s">
        <v>1336</v>
      </c>
      <c r="E135" s="23" t="s">
        <v>223</v>
      </c>
      <c r="F135" s="23" t="s">
        <v>225</v>
      </c>
      <c r="G135" s="23" t="s">
        <v>88</v>
      </c>
      <c r="H135" s="24" t="s">
        <v>97</v>
      </c>
      <c r="I135" s="24" t="s">
        <v>96</v>
      </c>
      <c r="J135" s="23" t="s">
        <v>230</v>
      </c>
      <c r="K135" s="25"/>
      <c r="L135" s="23" t="s">
        <v>321</v>
      </c>
      <c r="M135" s="23" t="s">
        <v>902</v>
      </c>
      <c r="N135" s="23" t="s">
        <v>111</v>
      </c>
      <c r="O135" s="23">
        <v>0</v>
      </c>
      <c r="P135" s="30" t="s">
        <v>948</v>
      </c>
      <c r="Q135" s="23" t="s">
        <v>1395</v>
      </c>
      <c r="R135" s="23"/>
      <c r="S135" s="23" t="s">
        <v>1396</v>
      </c>
    </row>
    <row r="136" spans="1:19" ht="28.8" x14ac:dyDescent="0.3">
      <c r="A136" s="23" t="s">
        <v>1397</v>
      </c>
      <c r="B136" s="23" t="s">
        <v>237</v>
      </c>
      <c r="C136" s="23" t="s">
        <v>80</v>
      </c>
      <c r="D136" s="23" t="s">
        <v>1336</v>
      </c>
      <c r="E136" s="23" t="s">
        <v>238</v>
      </c>
      <c r="F136" s="23" t="s">
        <v>240</v>
      </c>
      <c r="G136" s="23" t="s">
        <v>175</v>
      </c>
      <c r="H136" s="24" t="s">
        <v>97</v>
      </c>
      <c r="I136" s="24" t="s">
        <v>96</v>
      </c>
      <c r="J136" s="23" t="s">
        <v>1398</v>
      </c>
      <c r="K136" s="25" t="s">
        <v>1398</v>
      </c>
      <c r="L136" s="23" t="s">
        <v>1399</v>
      </c>
      <c r="M136" s="23" t="s">
        <v>885</v>
      </c>
      <c r="N136" s="23" t="s">
        <v>219</v>
      </c>
      <c r="O136" s="23">
        <v>30000</v>
      </c>
      <c r="P136" s="29" t="s">
        <v>879</v>
      </c>
      <c r="Q136" s="23" t="s">
        <v>1400</v>
      </c>
      <c r="R136" s="23"/>
      <c r="S136" s="23" t="s">
        <v>881</v>
      </c>
    </row>
    <row r="137" spans="1:19" ht="28.8" x14ac:dyDescent="0.3">
      <c r="A137" s="23" t="s">
        <v>1401</v>
      </c>
      <c r="B137" s="23" t="s">
        <v>237</v>
      </c>
      <c r="C137" s="23" t="s">
        <v>80</v>
      </c>
      <c r="D137" s="23" t="s">
        <v>1336</v>
      </c>
      <c r="E137" s="23" t="s">
        <v>238</v>
      </c>
      <c r="F137" s="23" t="s">
        <v>240</v>
      </c>
      <c r="G137" s="23" t="s">
        <v>175</v>
      </c>
      <c r="H137" s="24" t="s">
        <v>97</v>
      </c>
      <c r="I137" s="24" t="s">
        <v>96</v>
      </c>
      <c r="J137" s="23" t="s">
        <v>1399</v>
      </c>
      <c r="K137" s="25" t="s">
        <v>1402</v>
      </c>
      <c r="L137" s="23" t="s">
        <v>1403</v>
      </c>
      <c r="M137" s="23" t="s">
        <v>878</v>
      </c>
      <c r="N137" s="23" t="s">
        <v>896</v>
      </c>
      <c r="O137" s="23">
        <v>15000</v>
      </c>
      <c r="P137" s="29" t="s">
        <v>879</v>
      </c>
      <c r="Q137" s="23" t="s">
        <v>1404</v>
      </c>
      <c r="R137" s="23"/>
      <c r="S137" s="23" t="s">
        <v>887</v>
      </c>
    </row>
    <row r="138" spans="1:19" ht="28.8" x14ac:dyDescent="0.3">
      <c r="A138" s="23" t="s">
        <v>1405</v>
      </c>
      <c r="B138" s="23" t="s">
        <v>237</v>
      </c>
      <c r="C138" s="23" t="s">
        <v>80</v>
      </c>
      <c r="D138" s="23" t="s">
        <v>1336</v>
      </c>
      <c r="E138" s="23" t="s">
        <v>238</v>
      </c>
      <c r="F138" s="23" t="s">
        <v>240</v>
      </c>
      <c r="G138" s="23" t="s">
        <v>175</v>
      </c>
      <c r="H138" s="24" t="s">
        <v>97</v>
      </c>
      <c r="I138" s="24" t="s">
        <v>96</v>
      </c>
      <c r="J138" s="23" t="s">
        <v>1403</v>
      </c>
      <c r="K138" s="25" t="s">
        <v>1406</v>
      </c>
      <c r="L138" s="23" t="s">
        <v>1407</v>
      </c>
      <c r="M138" s="23" t="s">
        <v>902</v>
      </c>
      <c r="N138" s="23" t="s">
        <v>168</v>
      </c>
      <c r="O138" s="23">
        <v>20000</v>
      </c>
      <c r="P138" s="29" t="s">
        <v>879</v>
      </c>
      <c r="Q138" s="23" t="s">
        <v>1408</v>
      </c>
      <c r="R138" s="23"/>
      <c r="S138" s="23" t="s">
        <v>904</v>
      </c>
    </row>
    <row r="139" spans="1:19" ht="28.8" x14ac:dyDescent="0.3">
      <c r="A139" s="23" t="s">
        <v>1409</v>
      </c>
      <c r="B139" s="23" t="s">
        <v>237</v>
      </c>
      <c r="C139" s="23" t="s">
        <v>80</v>
      </c>
      <c r="D139" s="23" t="s">
        <v>1336</v>
      </c>
      <c r="E139" s="23" t="s">
        <v>238</v>
      </c>
      <c r="F139" s="23" t="s">
        <v>240</v>
      </c>
      <c r="G139" s="23" t="s">
        <v>175</v>
      </c>
      <c r="H139" s="24" t="s">
        <v>97</v>
      </c>
      <c r="I139" s="24" t="s">
        <v>96</v>
      </c>
      <c r="J139" s="23" t="s">
        <v>1407</v>
      </c>
      <c r="K139" s="25" t="s">
        <v>1410</v>
      </c>
      <c r="L139" s="23" t="s">
        <v>1411</v>
      </c>
      <c r="M139" s="23" t="s">
        <v>890</v>
      </c>
      <c r="N139" s="23" t="s">
        <v>168</v>
      </c>
      <c r="O139" s="23">
        <v>15000</v>
      </c>
      <c r="P139" s="29" t="s">
        <v>879</v>
      </c>
      <c r="Q139" s="23" t="s">
        <v>1412</v>
      </c>
      <c r="R139" s="23"/>
      <c r="S139" s="23" t="s">
        <v>887</v>
      </c>
    </row>
    <row r="140" spans="1:19" ht="28.8" x14ac:dyDescent="0.3">
      <c r="A140" s="23" t="s">
        <v>1413</v>
      </c>
      <c r="B140" s="23" t="s">
        <v>237</v>
      </c>
      <c r="C140" s="23" t="s">
        <v>80</v>
      </c>
      <c r="D140" s="23" t="s">
        <v>1336</v>
      </c>
      <c r="E140" s="23" t="s">
        <v>238</v>
      </c>
      <c r="F140" s="23" t="s">
        <v>240</v>
      </c>
      <c r="G140" s="23" t="s">
        <v>175</v>
      </c>
      <c r="H140" s="24" t="s">
        <v>97</v>
      </c>
      <c r="I140" s="24" t="s">
        <v>96</v>
      </c>
      <c r="J140" s="23" t="s">
        <v>1411</v>
      </c>
      <c r="K140" s="25" t="s">
        <v>1414</v>
      </c>
      <c r="L140" s="23" t="s">
        <v>1415</v>
      </c>
      <c r="M140" s="23" t="s">
        <v>890</v>
      </c>
      <c r="N140" s="23" t="s">
        <v>896</v>
      </c>
      <c r="O140" s="23">
        <v>15000</v>
      </c>
      <c r="P140" s="29" t="s">
        <v>879</v>
      </c>
      <c r="Q140" s="23" t="s">
        <v>1416</v>
      </c>
      <c r="R140" s="23"/>
      <c r="S140" s="23" t="s">
        <v>898</v>
      </c>
    </row>
    <row r="141" spans="1:19" ht="28.8" x14ac:dyDescent="0.3">
      <c r="A141" s="23" t="s">
        <v>1417</v>
      </c>
      <c r="B141" s="23" t="s">
        <v>237</v>
      </c>
      <c r="C141" s="23" t="s">
        <v>80</v>
      </c>
      <c r="D141" s="23" t="s">
        <v>1336</v>
      </c>
      <c r="E141" s="23" t="s">
        <v>238</v>
      </c>
      <c r="F141" s="23" t="s">
        <v>240</v>
      </c>
      <c r="G141" s="23" t="s">
        <v>175</v>
      </c>
      <c r="H141" s="24" t="s">
        <v>97</v>
      </c>
      <c r="I141" s="24" t="s">
        <v>96</v>
      </c>
      <c r="J141" s="23" t="s">
        <v>1415</v>
      </c>
      <c r="K141" s="25" t="s">
        <v>1418</v>
      </c>
      <c r="L141" s="23" t="s">
        <v>1419</v>
      </c>
      <c r="M141" s="23" t="s">
        <v>902</v>
      </c>
      <c r="N141" s="23" t="s">
        <v>111</v>
      </c>
      <c r="O141" s="23">
        <v>20000</v>
      </c>
      <c r="P141" s="29" t="s">
        <v>879</v>
      </c>
      <c r="Q141" s="23" t="s">
        <v>1420</v>
      </c>
      <c r="R141" s="23"/>
      <c r="S141" s="23" t="s">
        <v>887</v>
      </c>
    </row>
    <row r="142" spans="1:19" ht="28.8" x14ac:dyDescent="0.3">
      <c r="A142" s="23" t="s">
        <v>1421</v>
      </c>
      <c r="B142" s="23" t="s">
        <v>237</v>
      </c>
      <c r="C142" s="23" t="s">
        <v>80</v>
      </c>
      <c r="D142" s="23" t="s">
        <v>1336</v>
      </c>
      <c r="E142" s="23" t="s">
        <v>238</v>
      </c>
      <c r="F142" s="23" t="s">
        <v>240</v>
      </c>
      <c r="G142" s="23" t="s">
        <v>175</v>
      </c>
      <c r="H142" s="24" t="s">
        <v>97</v>
      </c>
      <c r="I142" s="24" t="s">
        <v>96</v>
      </c>
      <c r="J142" s="23" t="s">
        <v>1419</v>
      </c>
      <c r="K142" s="25" t="s">
        <v>1422</v>
      </c>
      <c r="L142" s="23" t="s">
        <v>1423</v>
      </c>
      <c r="M142" s="23" t="s">
        <v>902</v>
      </c>
      <c r="N142" s="23" t="s">
        <v>920</v>
      </c>
      <c r="O142" s="23">
        <v>20000</v>
      </c>
      <c r="P142" s="29" t="s">
        <v>879</v>
      </c>
      <c r="Q142" s="23" t="s">
        <v>1424</v>
      </c>
      <c r="R142" s="23"/>
      <c r="S142" s="23" t="s">
        <v>881</v>
      </c>
    </row>
    <row r="143" spans="1:19" ht="28.8" x14ac:dyDescent="0.3">
      <c r="A143" s="23" t="s">
        <v>1425</v>
      </c>
      <c r="B143" s="23" t="s">
        <v>237</v>
      </c>
      <c r="C143" s="23" t="s">
        <v>80</v>
      </c>
      <c r="D143" s="23" t="s">
        <v>1336</v>
      </c>
      <c r="E143" s="23" t="s">
        <v>238</v>
      </c>
      <c r="F143" s="23" t="s">
        <v>240</v>
      </c>
      <c r="G143" s="23" t="s">
        <v>175</v>
      </c>
      <c r="H143" s="24" t="s">
        <v>97</v>
      </c>
      <c r="I143" s="24" t="s">
        <v>96</v>
      </c>
      <c r="J143" s="23" t="s">
        <v>1423</v>
      </c>
      <c r="K143" s="25" t="s">
        <v>1426</v>
      </c>
      <c r="L143" s="23" t="s">
        <v>1427</v>
      </c>
      <c r="M143" s="23" t="s">
        <v>878</v>
      </c>
      <c r="N143" s="23" t="s">
        <v>111</v>
      </c>
      <c r="O143" s="23">
        <v>15000</v>
      </c>
      <c r="P143" s="29" t="s">
        <v>879</v>
      </c>
      <c r="Q143" s="23" t="s">
        <v>1428</v>
      </c>
      <c r="R143" s="23"/>
      <c r="S143" s="23" t="s">
        <v>887</v>
      </c>
    </row>
    <row r="144" spans="1:19" ht="28.8" x14ac:dyDescent="0.3">
      <c r="A144" s="23" t="s">
        <v>1429</v>
      </c>
      <c r="B144" s="23" t="s">
        <v>237</v>
      </c>
      <c r="C144" s="23" t="s">
        <v>80</v>
      </c>
      <c r="D144" s="23" t="s">
        <v>1336</v>
      </c>
      <c r="E144" s="23" t="s">
        <v>238</v>
      </c>
      <c r="F144" s="23" t="s">
        <v>240</v>
      </c>
      <c r="G144" s="23" t="s">
        <v>175</v>
      </c>
      <c r="H144" s="24" t="s">
        <v>97</v>
      </c>
      <c r="I144" s="24" t="s">
        <v>96</v>
      </c>
      <c r="J144" s="23" t="s">
        <v>1427</v>
      </c>
      <c r="K144" s="25" t="s">
        <v>1430</v>
      </c>
      <c r="L144" s="23" t="s">
        <v>1431</v>
      </c>
      <c r="M144" s="23" t="s">
        <v>878</v>
      </c>
      <c r="N144" s="23" t="s">
        <v>920</v>
      </c>
      <c r="O144" s="23">
        <v>30000</v>
      </c>
      <c r="P144" s="29" t="s">
        <v>879</v>
      </c>
      <c r="Q144" s="23" t="s">
        <v>1432</v>
      </c>
      <c r="R144" s="23"/>
      <c r="S144" s="23" t="s">
        <v>939</v>
      </c>
    </row>
    <row r="145" spans="1:19" ht="28.8" x14ac:dyDescent="0.3">
      <c r="A145" s="23" t="s">
        <v>1433</v>
      </c>
      <c r="B145" s="23" t="s">
        <v>237</v>
      </c>
      <c r="C145" s="23" t="s">
        <v>80</v>
      </c>
      <c r="D145" s="23" t="s">
        <v>1336</v>
      </c>
      <c r="E145" s="23" t="s">
        <v>238</v>
      </c>
      <c r="F145" s="23" t="s">
        <v>240</v>
      </c>
      <c r="G145" s="23" t="s">
        <v>175</v>
      </c>
      <c r="H145" s="24" t="s">
        <v>97</v>
      </c>
      <c r="I145" s="24" t="s">
        <v>96</v>
      </c>
      <c r="J145" s="23" t="s">
        <v>1431</v>
      </c>
      <c r="K145" s="25" t="s">
        <v>1259</v>
      </c>
      <c r="L145" s="23" t="s">
        <v>685</v>
      </c>
      <c r="M145" s="23" t="s">
        <v>885</v>
      </c>
      <c r="N145" s="23" t="s">
        <v>111</v>
      </c>
      <c r="O145" s="23">
        <v>30000</v>
      </c>
      <c r="P145" s="29" t="s">
        <v>879</v>
      </c>
      <c r="Q145" s="23" t="s">
        <v>1434</v>
      </c>
      <c r="R145" s="23"/>
      <c r="S145" s="23" t="s">
        <v>904</v>
      </c>
    </row>
    <row r="146" spans="1:19" ht="28.8" x14ac:dyDescent="0.3">
      <c r="A146" s="23" t="s">
        <v>1435</v>
      </c>
      <c r="B146" s="23" t="s">
        <v>237</v>
      </c>
      <c r="C146" s="23" t="s">
        <v>80</v>
      </c>
      <c r="D146" s="23" t="s">
        <v>1336</v>
      </c>
      <c r="E146" s="23" t="s">
        <v>238</v>
      </c>
      <c r="F146" s="23" t="s">
        <v>240</v>
      </c>
      <c r="G146" s="23" t="s">
        <v>175</v>
      </c>
      <c r="H146" s="24" t="s">
        <v>97</v>
      </c>
      <c r="I146" s="24" t="s">
        <v>96</v>
      </c>
      <c r="J146" s="23" t="s">
        <v>685</v>
      </c>
      <c r="K146" s="25" t="s">
        <v>1436</v>
      </c>
      <c r="L146" s="23" t="s">
        <v>1437</v>
      </c>
      <c r="M146" s="23" t="s">
        <v>878</v>
      </c>
      <c r="N146" s="23" t="s">
        <v>920</v>
      </c>
      <c r="O146" s="23">
        <v>30000</v>
      </c>
      <c r="P146" s="29" t="s">
        <v>879</v>
      </c>
      <c r="Q146" s="23" t="s">
        <v>1438</v>
      </c>
      <c r="R146" s="23"/>
      <c r="S146" s="23" t="s">
        <v>939</v>
      </c>
    </row>
    <row r="147" spans="1:19" ht="28.8" x14ac:dyDescent="0.3">
      <c r="A147" s="23" t="s">
        <v>1439</v>
      </c>
      <c r="B147" s="23" t="s">
        <v>237</v>
      </c>
      <c r="C147" s="23" t="s">
        <v>80</v>
      </c>
      <c r="D147" s="23" t="s">
        <v>1336</v>
      </c>
      <c r="E147" s="23" t="s">
        <v>238</v>
      </c>
      <c r="F147" s="23" t="s">
        <v>240</v>
      </c>
      <c r="G147" s="23" t="s">
        <v>175</v>
      </c>
      <c r="H147" s="24" t="s">
        <v>97</v>
      </c>
      <c r="I147" s="24" t="s">
        <v>96</v>
      </c>
      <c r="J147" s="23" t="s">
        <v>1437</v>
      </c>
      <c r="K147" s="25" t="s">
        <v>1440</v>
      </c>
      <c r="L147" s="23" t="s">
        <v>1441</v>
      </c>
      <c r="M147" s="23" t="s">
        <v>902</v>
      </c>
      <c r="N147" s="23" t="s">
        <v>896</v>
      </c>
      <c r="O147" s="23">
        <v>20000</v>
      </c>
      <c r="P147" s="29" t="s">
        <v>879</v>
      </c>
      <c r="Q147" s="23" t="s">
        <v>1442</v>
      </c>
      <c r="R147" s="23"/>
      <c r="S147" s="23" t="s">
        <v>887</v>
      </c>
    </row>
    <row r="148" spans="1:19" ht="28.8" x14ac:dyDescent="0.3">
      <c r="A148" s="23" t="s">
        <v>1443</v>
      </c>
      <c r="B148" s="23" t="s">
        <v>237</v>
      </c>
      <c r="C148" s="23" t="s">
        <v>80</v>
      </c>
      <c r="D148" s="23" t="s">
        <v>1336</v>
      </c>
      <c r="E148" s="23" t="s">
        <v>238</v>
      </c>
      <c r="F148" s="23" t="s">
        <v>240</v>
      </c>
      <c r="G148" s="23" t="s">
        <v>175</v>
      </c>
      <c r="H148" s="24" t="s">
        <v>97</v>
      </c>
      <c r="I148" s="24" t="s">
        <v>96</v>
      </c>
      <c r="J148" s="23" t="s">
        <v>1441</v>
      </c>
      <c r="K148" s="25" t="s">
        <v>1444</v>
      </c>
      <c r="L148" s="23" t="s">
        <v>1445</v>
      </c>
      <c r="M148" s="23" t="s">
        <v>885</v>
      </c>
      <c r="N148" s="23" t="s">
        <v>219</v>
      </c>
      <c r="O148" s="23">
        <v>15000</v>
      </c>
      <c r="P148" s="29" t="s">
        <v>879</v>
      </c>
      <c r="Q148" s="23" t="s">
        <v>1446</v>
      </c>
      <c r="R148" s="23"/>
      <c r="S148" s="23" t="s">
        <v>904</v>
      </c>
    </row>
    <row r="149" spans="1:19" ht="28.8" x14ac:dyDescent="0.3">
      <c r="A149" s="23" t="s">
        <v>1447</v>
      </c>
      <c r="B149" s="23" t="s">
        <v>237</v>
      </c>
      <c r="C149" s="23" t="s">
        <v>80</v>
      </c>
      <c r="D149" s="23" t="s">
        <v>1336</v>
      </c>
      <c r="E149" s="23" t="s">
        <v>238</v>
      </c>
      <c r="F149" s="23" t="s">
        <v>240</v>
      </c>
      <c r="G149" s="23" t="s">
        <v>175</v>
      </c>
      <c r="H149" s="24" t="s">
        <v>97</v>
      </c>
      <c r="I149" s="24" t="s">
        <v>96</v>
      </c>
      <c r="J149" s="23" t="s">
        <v>228</v>
      </c>
      <c r="K149" s="25" t="s">
        <v>1279</v>
      </c>
      <c r="L149" s="23" t="s">
        <v>1448</v>
      </c>
      <c r="M149" s="23" t="s">
        <v>885</v>
      </c>
      <c r="N149" s="23" t="s">
        <v>929</v>
      </c>
      <c r="O149" s="23">
        <v>15000</v>
      </c>
      <c r="P149" s="29" t="s">
        <v>879</v>
      </c>
      <c r="Q149" s="23" t="s">
        <v>1449</v>
      </c>
      <c r="R149" s="23"/>
      <c r="S149" s="23" t="s">
        <v>881</v>
      </c>
    </row>
    <row r="150" spans="1:19" ht="28.8" x14ac:dyDescent="0.3">
      <c r="A150" s="23" t="s">
        <v>1450</v>
      </c>
      <c r="B150" s="23" t="s">
        <v>237</v>
      </c>
      <c r="C150" s="23" t="s">
        <v>80</v>
      </c>
      <c r="D150" s="23" t="s">
        <v>1336</v>
      </c>
      <c r="E150" s="23" t="s">
        <v>238</v>
      </c>
      <c r="F150" s="23" t="s">
        <v>240</v>
      </c>
      <c r="G150" s="23" t="s">
        <v>175</v>
      </c>
      <c r="H150" s="24" t="s">
        <v>97</v>
      </c>
      <c r="I150" s="24" t="s">
        <v>96</v>
      </c>
      <c r="J150" s="23" t="s">
        <v>1448</v>
      </c>
      <c r="K150" s="25" t="s">
        <v>1451</v>
      </c>
      <c r="L150" s="23" t="s">
        <v>1452</v>
      </c>
      <c r="M150" s="23" t="s">
        <v>890</v>
      </c>
      <c r="N150" s="23" t="s">
        <v>896</v>
      </c>
      <c r="O150" s="23">
        <v>15000</v>
      </c>
      <c r="P150" s="29" t="s">
        <v>879</v>
      </c>
      <c r="Q150" s="23" t="s">
        <v>1453</v>
      </c>
      <c r="R150" s="23"/>
      <c r="S150" s="23" t="s">
        <v>881</v>
      </c>
    </row>
    <row r="151" spans="1:19" ht="28.8" x14ac:dyDescent="0.3">
      <c r="A151" s="23" t="s">
        <v>1454</v>
      </c>
      <c r="B151" s="23" t="s">
        <v>237</v>
      </c>
      <c r="C151" s="23" t="s">
        <v>80</v>
      </c>
      <c r="D151" s="23" t="s">
        <v>1336</v>
      </c>
      <c r="E151" s="23" t="s">
        <v>238</v>
      </c>
      <c r="F151" s="23" t="s">
        <v>240</v>
      </c>
      <c r="G151" s="23" t="s">
        <v>175</v>
      </c>
      <c r="H151" s="24" t="s">
        <v>97</v>
      </c>
      <c r="I151" s="24" t="s">
        <v>96</v>
      </c>
      <c r="J151" s="23" t="s">
        <v>1452</v>
      </c>
      <c r="K151" s="25" t="s">
        <v>1455</v>
      </c>
      <c r="L151" s="23" t="s">
        <v>700</v>
      </c>
      <c r="M151" s="23" t="s">
        <v>885</v>
      </c>
      <c r="N151" s="23" t="s">
        <v>168</v>
      </c>
      <c r="O151" s="23">
        <v>15000</v>
      </c>
      <c r="P151" s="29" t="s">
        <v>879</v>
      </c>
      <c r="Q151" s="23" t="s">
        <v>1456</v>
      </c>
      <c r="R151" s="23" t="s">
        <v>1457</v>
      </c>
      <c r="S151" s="23" t="s">
        <v>904</v>
      </c>
    </row>
    <row r="152" spans="1:19" ht="28.8" x14ac:dyDescent="0.3">
      <c r="A152" s="23" t="s">
        <v>1458</v>
      </c>
      <c r="B152" s="23" t="s">
        <v>237</v>
      </c>
      <c r="C152" s="23" t="s">
        <v>80</v>
      </c>
      <c r="D152" s="23" t="s">
        <v>1336</v>
      </c>
      <c r="E152" s="23" t="s">
        <v>238</v>
      </c>
      <c r="F152" s="23" t="s">
        <v>240</v>
      </c>
      <c r="G152" s="23" t="s">
        <v>175</v>
      </c>
      <c r="H152" s="24" t="s">
        <v>97</v>
      </c>
      <c r="I152" s="24" t="s">
        <v>96</v>
      </c>
      <c r="J152" s="23" t="s">
        <v>700</v>
      </c>
      <c r="K152" s="25" t="s">
        <v>218</v>
      </c>
      <c r="L152" s="23" t="s">
        <v>243</v>
      </c>
      <c r="M152" s="23" t="s">
        <v>885</v>
      </c>
      <c r="N152" s="23" t="s">
        <v>131</v>
      </c>
      <c r="O152" s="23">
        <v>20000</v>
      </c>
      <c r="P152" s="29" t="s">
        <v>879</v>
      </c>
      <c r="Q152" s="23" t="s">
        <v>1459</v>
      </c>
      <c r="R152" s="23" t="s">
        <v>1063</v>
      </c>
      <c r="S152" s="23" t="s">
        <v>904</v>
      </c>
    </row>
    <row r="153" spans="1:19" ht="28.8" x14ac:dyDescent="0.3">
      <c r="A153" s="23" t="s">
        <v>1460</v>
      </c>
      <c r="B153" s="23" t="s">
        <v>237</v>
      </c>
      <c r="C153" s="23" t="s">
        <v>80</v>
      </c>
      <c r="D153" s="23" t="s">
        <v>1336</v>
      </c>
      <c r="E153" s="23" t="s">
        <v>238</v>
      </c>
      <c r="F153" s="23" t="s">
        <v>240</v>
      </c>
      <c r="G153" s="23" t="s">
        <v>175</v>
      </c>
      <c r="H153" s="24" t="s">
        <v>97</v>
      </c>
      <c r="I153" s="24" t="s">
        <v>96</v>
      </c>
      <c r="J153" s="23" t="s">
        <v>243</v>
      </c>
      <c r="K153" s="25"/>
      <c r="L153" s="23" t="s">
        <v>432</v>
      </c>
      <c r="M153" s="23" t="s">
        <v>890</v>
      </c>
      <c r="N153" s="23" t="s">
        <v>111</v>
      </c>
      <c r="O153" s="23">
        <v>0</v>
      </c>
      <c r="P153" s="30" t="s">
        <v>948</v>
      </c>
      <c r="Q153" s="23" t="s">
        <v>1461</v>
      </c>
      <c r="R153" s="23"/>
      <c r="S153" s="23" t="s">
        <v>1396</v>
      </c>
    </row>
    <row r="154" spans="1:19" ht="28.8" x14ac:dyDescent="0.3">
      <c r="A154" s="23" t="s">
        <v>1462</v>
      </c>
      <c r="B154" s="23" t="s">
        <v>250</v>
      </c>
      <c r="C154" s="23" t="s">
        <v>80</v>
      </c>
      <c r="D154" s="23" t="s">
        <v>764</v>
      </c>
      <c r="E154" s="23" t="s">
        <v>252</v>
      </c>
      <c r="F154" s="23" t="s">
        <v>254</v>
      </c>
      <c r="G154" s="23" t="s">
        <v>88</v>
      </c>
      <c r="H154" s="24" t="s">
        <v>97</v>
      </c>
      <c r="I154" s="24" t="s">
        <v>96</v>
      </c>
      <c r="J154" s="23" t="s">
        <v>895</v>
      </c>
      <c r="K154" s="25" t="s">
        <v>1463</v>
      </c>
      <c r="L154" s="23" t="s">
        <v>901</v>
      </c>
      <c r="M154" s="23" t="s">
        <v>878</v>
      </c>
      <c r="N154" s="23" t="s">
        <v>131</v>
      </c>
      <c r="O154" s="23">
        <v>25000</v>
      </c>
      <c r="P154" s="29" t="s">
        <v>879</v>
      </c>
      <c r="Q154" s="23" t="s">
        <v>1464</v>
      </c>
      <c r="R154" s="23"/>
      <c r="S154" s="23" t="s">
        <v>898</v>
      </c>
    </row>
    <row r="155" spans="1:19" ht="28.8" x14ac:dyDescent="0.3">
      <c r="A155" s="23" t="s">
        <v>1465</v>
      </c>
      <c r="B155" s="23" t="s">
        <v>250</v>
      </c>
      <c r="C155" s="23" t="s">
        <v>80</v>
      </c>
      <c r="D155" s="23" t="s">
        <v>764</v>
      </c>
      <c r="E155" s="23" t="s">
        <v>252</v>
      </c>
      <c r="F155" s="23" t="s">
        <v>254</v>
      </c>
      <c r="G155" s="23" t="s">
        <v>88</v>
      </c>
      <c r="H155" s="24" t="s">
        <v>97</v>
      </c>
      <c r="I155" s="24" t="s">
        <v>96</v>
      </c>
      <c r="J155" s="23" t="s">
        <v>901</v>
      </c>
      <c r="K155" s="25" t="s">
        <v>1466</v>
      </c>
      <c r="L155" s="23" t="s">
        <v>907</v>
      </c>
      <c r="M155" s="23" t="s">
        <v>902</v>
      </c>
      <c r="N155" s="23" t="s">
        <v>920</v>
      </c>
      <c r="O155" s="23">
        <v>20000</v>
      </c>
      <c r="P155" s="29" t="s">
        <v>879</v>
      </c>
      <c r="Q155" s="23" t="s">
        <v>1467</v>
      </c>
      <c r="R155" s="23"/>
      <c r="S155" s="23" t="s">
        <v>887</v>
      </c>
    </row>
    <row r="156" spans="1:19" ht="28.8" x14ac:dyDescent="0.3">
      <c r="A156" s="23" t="s">
        <v>1468</v>
      </c>
      <c r="B156" s="23" t="s">
        <v>250</v>
      </c>
      <c r="C156" s="23" t="s">
        <v>80</v>
      </c>
      <c r="D156" s="23" t="s">
        <v>764</v>
      </c>
      <c r="E156" s="23" t="s">
        <v>252</v>
      </c>
      <c r="F156" s="23" t="s">
        <v>254</v>
      </c>
      <c r="G156" s="23" t="s">
        <v>88</v>
      </c>
      <c r="H156" s="24" t="s">
        <v>97</v>
      </c>
      <c r="I156" s="24" t="s">
        <v>96</v>
      </c>
      <c r="J156" s="23" t="s">
        <v>907</v>
      </c>
      <c r="K156" s="25" t="s">
        <v>1469</v>
      </c>
      <c r="L156" s="23" t="s">
        <v>911</v>
      </c>
      <c r="M156" s="23" t="s">
        <v>878</v>
      </c>
      <c r="N156" s="23" t="s">
        <v>896</v>
      </c>
      <c r="O156" s="23">
        <v>25000</v>
      </c>
      <c r="P156" s="29" t="s">
        <v>879</v>
      </c>
      <c r="Q156" s="23" t="s">
        <v>1470</v>
      </c>
      <c r="R156" s="23"/>
      <c r="S156" s="23" t="s">
        <v>926</v>
      </c>
    </row>
    <row r="157" spans="1:19" ht="28.8" x14ac:dyDescent="0.3">
      <c r="A157" s="23" t="s">
        <v>1471</v>
      </c>
      <c r="B157" s="23" t="s">
        <v>250</v>
      </c>
      <c r="C157" s="23" t="s">
        <v>80</v>
      </c>
      <c r="D157" s="23" t="s">
        <v>764</v>
      </c>
      <c r="E157" s="23" t="s">
        <v>252</v>
      </c>
      <c r="F157" s="23" t="s">
        <v>254</v>
      </c>
      <c r="G157" s="23" t="s">
        <v>88</v>
      </c>
      <c r="H157" s="24" t="s">
        <v>97</v>
      </c>
      <c r="I157" s="24" t="s">
        <v>96</v>
      </c>
      <c r="J157" s="23" t="s">
        <v>911</v>
      </c>
      <c r="K157" s="25" t="s">
        <v>1472</v>
      </c>
      <c r="L157" s="23" t="s">
        <v>915</v>
      </c>
      <c r="M157" s="23" t="s">
        <v>902</v>
      </c>
      <c r="N157" s="23" t="s">
        <v>920</v>
      </c>
      <c r="O157" s="23">
        <v>25000</v>
      </c>
      <c r="P157" s="29" t="s">
        <v>879</v>
      </c>
      <c r="Q157" s="23" t="s">
        <v>1473</v>
      </c>
      <c r="R157" s="23"/>
      <c r="S157" s="23" t="s">
        <v>939</v>
      </c>
    </row>
    <row r="158" spans="1:19" ht="28.8" x14ac:dyDescent="0.3">
      <c r="A158" s="23" t="s">
        <v>1474</v>
      </c>
      <c r="B158" s="23" t="s">
        <v>250</v>
      </c>
      <c r="C158" s="23" t="s">
        <v>80</v>
      </c>
      <c r="D158" s="23" t="s">
        <v>764</v>
      </c>
      <c r="E158" s="23" t="s">
        <v>252</v>
      </c>
      <c r="F158" s="23" t="s">
        <v>254</v>
      </c>
      <c r="G158" s="23" t="s">
        <v>88</v>
      </c>
      <c r="H158" s="24" t="s">
        <v>97</v>
      </c>
      <c r="I158" s="24" t="s">
        <v>96</v>
      </c>
      <c r="J158" s="23" t="s">
        <v>915</v>
      </c>
      <c r="K158" s="25" t="s">
        <v>1475</v>
      </c>
      <c r="L158" s="23" t="s">
        <v>919</v>
      </c>
      <c r="M158" s="23" t="s">
        <v>902</v>
      </c>
      <c r="N158" s="23" t="s">
        <v>131</v>
      </c>
      <c r="O158" s="23">
        <v>25000</v>
      </c>
      <c r="P158" s="29" t="s">
        <v>879</v>
      </c>
      <c r="Q158" s="23" t="s">
        <v>1476</v>
      </c>
      <c r="R158" s="23"/>
      <c r="S158" s="23" t="s">
        <v>892</v>
      </c>
    </row>
    <row r="159" spans="1:19" ht="28.8" x14ac:dyDescent="0.3">
      <c r="A159" s="23" t="s">
        <v>1477</v>
      </c>
      <c r="B159" s="23" t="s">
        <v>250</v>
      </c>
      <c r="C159" s="23" t="s">
        <v>80</v>
      </c>
      <c r="D159" s="23" t="s">
        <v>764</v>
      </c>
      <c r="E159" s="23" t="s">
        <v>252</v>
      </c>
      <c r="F159" s="23" t="s">
        <v>254</v>
      </c>
      <c r="G159" s="23" t="s">
        <v>88</v>
      </c>
      <c r="H159" s="24" t="s">
        <v>97</v>
      </c>
      <c r="I159" s="24" t="s">
        <v>96</v>
      </c>
      <c r="J159" s="23" t="s">
        <v>919</v>
      </c>
      <c r="K159" s="25" t="s">
        <v>919</v>
      </c>
      <c r="L159" s="23" t="s">
        <v>924</v>
      </c>
      <c r="M159" s="23" t="s">
        <v>878</v>
      </c>
      <c r="N159" s="23" t="s">
        <v>168</v>
      </c>
      <c r="O159" s="23">
        <v>15000</v>
      </c>
      <c r="P159" s="29" t="s">
        <v>879</v>
      </c>
      <c r="Q159" s="23" t="s">
        <v>1478</v>
      </c>
      <c r="R159" s="23" t="s">
        <v>1063</v>
      </c>
      <c r="S159" s="23" t="s">
        <v>926</v>
      </c>
    </row>
    <row r="160" spans="1:19" ht="28.8" x14ac:dyDescent="0.3">
      <c r="A160" s="23" t="s">
        <v>1479</v>
      </c>
      <c r="B160" s="23" t="s">
        <v>250</v>
      </c>
      <c r="C160" s="23" t="s">
        <v>80</v>
      </c>
      <c r="D160" s="23" t="s">
        <v>764</v>
      </c>
      <c r="E160" s="23" t="s">
        <v>252</v>
      </c>
      <c r="F160" s="23" t="s">
        <v>254</v>
      </c>
      <c r="G160" s="23" t="s">
        <v>88</v>
      </c>
      <c r="H160" s="24" t="s">
        <v>97</v>
      </c>
      <c r="I160" s="24" t="s">
        <v>96</v>
      </c>
      <c r="J160" s="23" t="s">
        <v>924</v>
      </c>
      <c r="K160" s="25" t="s">
        <v>1480</v>
      </c>
      <c r="L160" s="23" t="s">
        <v>928</v>
      </c>
      <c r="M160" s="23" t="s">
        <v>878</v>
      </c>
      <c r="N160" s="23" t="s">
        <v>920</v>
      </c>
      <c r="O160" s="23">
        <v>25000</v>
      </c>
      <c r="P160" s="29" t="s">
        <v>879</v>
      </c>
      <c r="Q160" s="23" t="s">
        <v>1481</v>
      </c>
      <c r="R160" s="23"/>
      <c r="S160" s="23" t="s">
        <v>926</v>
      </c>
    </row>
    <row r="161" spans="1:19" ht="28.8" x14ac:dyDescent="0.3">
      <c r="A161" s="23" t="s">
        <v>1482</v>
      </c>
      <c r="B161" s="23" t="s">
        <v>250</v>
      </c>
      <c r="C161" s="23" t="s">
        <v>80</v>
      </c>
      <c r="D161" s="23" t="s">
        <v>764</v>
      </c>
      <c r="E161" s="23" t="s">
        <v>252</v>
      </c>
      <c r="F161" s="23" t="s">
        <v>254</v>
      </c>
      <c r="G161" s="23" t="s">
        <v>88</v>
      </c>
      <c r="H161" s="24" t="s">
        <v>97</v>
      </c>
      <c r="I161" s="24" t="s">
        <v>96</v>
      </c>
      <c r="J161" s="23" t="s">
        <v>928</v>
      </c>
      <c r="K161" s="25" t="s">
        <v>1483</v>
      </c>
      <c r="L161" s="23" t="s">
        <v>933</v>
      </c>
      <c r="M161" s="23" t="s">
        <v>885</v>
      </c>
      <c r="N161" s="23" t="s">
        <v>929</v>
      </c>
      <c r="O161" s="23">
        <v>20000</v>
      </c>
      <c r="P161" s="29" t="s">
        <v>879</v>
      </c>
      <c r="Q161" s="23" t="s">
        <v>1484</v>
      </c>
      <c r="R161" s="23"/>
      <c r="S161" s="23" t="s">
        <v>881</v>
      </c>
    </row>
    <row r="162" spans="1:19" ht="28.8" x14ac:dyDescent="0.3">
      <c r="A162" s="23" t="s">
        <v>1485</v>
      </c>
      <c r="B162" s="23" t="s">
        <v>250</v>
      </c>
      <c r="C162" s="23" t="s">
        <v>80</v>
      </c>
      <c r="D162" s="23" t="s">
        <v>764</v>
      </c>
      <c r="E162" s="23" t="s">
        <v>252</v>
      </c>
      <c r="F162" s="23" t="s">
        <v>254</v>
      </c>
      <c r="G162" s="23" t="s">
        <v>88</v>
      </c>
      <c r="H162" s="24" t="s">
        <v>97</v>
      </c>
      <c r="I162" s="24" t="s">
        <v>96</v>
      </c>
      <c r="J162" s="23" t="s">
        <v>933</v>
      </c>
      <c r="K162" s="25" t="s">
        <v>1486</v>
      </c>
      <c r="L162" s="23" t="s">
        <v>936</v>
      </c>
      <c r="M162" s="23" t="s">
        <v>902</v>
      </c>
      <c r="N162" s="23" t="s">
        <v>929</v>
      </c>
      <c r="O162" s="23">
        <v>30000</v>
      </c>
      <c r="P162" s="29" t="s">
        <v>879</v>
      </c>
      <c r="Q162" s="23" t="s">
        <v>1487</v>
      </c>
      <c r="R162" s="23"/>
      <c r="S162" s="23" t="s">
        <v>931</v>
      </c>
    </row>
    <row r="163" spans="1:19" ht="28.8" x14ac:dyDescent="0.3">
      <c r="A163" s="23" t="s">
        <v>1488</v>
      </c>
      <c r="B163" s="23" t="s">
        <v>250</v>
      </c>
      <c r="C163" s="23" t="s">
        <v>80</v>
      </c>
      <c r="D163" s="23" t="s">
        <v>764</v>
      </c>
      <c r="E163" s="23" t="s">
        <v>252</v>
      </c>
      <c r="F163" s="23" t="s">
        <v>254</v>
      </c>
      <c r="G163" s="23" t="s">
        <v>88</v>
      </c>
      <c r="H163" s="24" t="s">
        <v>97</v>
      </c>
      <c r="I163" s="24" t="s">
        <v>96</v>
      </c>
      <c r="J163" s="23" t="s">
        <v>936</v>
      </c>
      <c r="K163" s="25" t="s">
        <v>1489</v>
      </c>
      <c r="L163" s="23" t="s">
        <v>566</v>
      </c>
      <c r="M163" s="23" t="s">
        <v>878</v>
      </c>
      <c r="N163" s="23" t="s">
        <v>131</v>
      </c>
      <c r="O163" s="23">
        <v>15000</v>
      </c>
      <c r="P163" s="29" t="s">
        <v>879</v>
      </c>
      <c r="Q163" s="23" t="s">
        <v>1490</v>
      </c>
      <c r="R163" s="23"/>
      <c r="S163" s="23" t="s">
        <v>904</v>
      </c>
    </row>
    <row r="164" spans="1:19" ht="28.8" x14ac:dyDescent="0.3">
      <c r="A164" s="23" t="s">
        <v>1491</v>
      </c>
      <c r="B164" s="23" t="s">
        <v>250</v>
      </c>
      <c r="C164" s="23" t="s">
        <v>80</v>
      </c>
      <c r="D164" s="23" t="s">
        <v>764</v>
      </c>
      <c r="E164" s="23" t="s">
        <v>252</v>
      </c>
      <c r="F164" s="23" t="s">
        <v>254</v>
      </c>
      <c r="G164" s="23" t="s">
        <v>88</v>
      </c>
      <c r="H164" s="24" t="s">
        <v>97</v>
      </c>
      <c r="I164" s="24" t="s">
        <v>96</v>
      </c>
      <c r="J164" s="23" t="s">
        <v>566</v>
      </c>
      <c r="K164" s="25" t="s">
        <v>257</v>
      </c>
      <c r="L164" s="23" t="s">
        <v>95</v>
      </c>
      <c r="M164" s="23" t="s">
        <v>878</v>
      </c>
      <c r="N164" s="23" t="s">
        <v>920</v>
      </c>
      <c r="O164" s="23">
        <v>15000</v>
      </c>
      <c r="P164" s="29" t="s">
        <v>879</v>
      </c>
      <c r="Q164" s="23" t="s">
        <v>1492</v>
      </c>
      <c r="R164" s="23"/>
      <c r="S164" s="23" t="s">
        <v>887</v>
      </c>
    </row>
    <row r="165" spans="1:19" ht="28.8" x14ac:dyDescent="0.3">
      <c r="A165" s="23" t="s">
        <v>1493</v>
      </c>
      <c r="B165" s="23" t="s">
        <v>250</v>
      </c>
      <c r="C165" s="23" t="s">
        <v>80</v>
      </c>
      <c r="D165" s="23" t="s">
        <v>764</v>
      </c>
      <c r="E165" s="23" t="s">
        <v>252</v>
      </c>
      <c r="F165" s="23" t="s">
        <v>254</v>
      </c>
      <c r="G165" s="23" t="s">
        <v>88</v>
      </c>
      <c r="H165" s="24" t="s">
        <v>97</v>
      </c>
      <c r="I165" s="24" t="s">
        <v>96</v>
      </c>
      <c r="J165" s="23" t="s">
        <v>95</v>
      </c>
      <c r="K165" s="25"/>
      <c r="L165" s="23" t="s">
        <v>947</v>
      </c>
      <c r="M165" s="23" t="s">
        <v>902</v>
      </c>
      <c r="N165" s="23" t="s">
        <v>168</v>
      </c>
      <c r="O165" s="23">
        <v>0</v>
      </c>
      <c r="P165" s="30" t="s">
        <v>948</v>
      </c>
      <c r="Q165" s="23" t="s">
        <v>1494</v>
      </c>
      <c r="R165" s="23"/>
      <c r="S165" s="23" t="s">
        <v>1396</v>
      </c>
    </row>
    <row r="166" spans="1:19" ht="28.8" x14ac:dyDescent="0.3">
      <c r="A166" s="23" t="s">
        <v>1495</v>
      </c>
      <c r="B166" s="23" t="s">
        <v>264</v>
      </c>
      <c r="C166" s="23" t="s">
        <v>80</v>
      </c>
      <c r="D166" s="23" t="s">
        <v>756</v>
      </c>
      <c r="E166" s="23" t="s">
        <v>265</v>
      </c>
      <c r="F166" s="23" t="s">
        <v>267</v>
      </c>
      <c r="G166" s="23" t="s">
        <v>88</v>
      </c>
      <c r="H166" s="24" t="s">
        <v>97</v>
      </c>
      <c r="I166" s="24" t="s">
        <v>96</v>
      </c>
      <c r="J166" s="23" t="s">
        <v>1496</v>
      </c>
      <c r="K166" s="25" t="s">
        <v>1497</v>
      </c>
      <c r="L166" s="23" t="s">
        <v>1254</v>
      </c>
      <c r="M166" s="23" t="s">
        <v>902</v>
      </c>
      <c r="N166" s="23" t="s">
        <v>219</v>
      </c>
      <c r="O166" s="23">
        <v>15000</v>
      </c>
      <c r="P166" s="29" t="s">
        <v>879</v>
      </c>
      <c r="Q166" s="23" t="s">
        <v>1498</v>
      </c>
      <c r="R166" s="23"/>
      <c r="S166" s="23" t="s">
        <v>887</v>
      </c>
    </row>
    <row r="167" spans="1:19" ht="28.8" x14ac:dyDescent="0.3">
      <c r="A167" s="23" t="s">
        <v>1499</v>
      </c>
      <c r="B167" s="23" t="s">
        <v>264</v>
      </c>
      <c r="C167" s="23" t="s">
        <v>80</v>
      </c>
      <c r="D167" s="23" t="s">
        <v>756</v>
      </c>
      <c r="E167" s="23" t="s">
        <v>265</v>
      </c>
      <c r="F167" s="23" t="s">
        <v>267</v>
      </c>
      <c r="G167" s="23" t="s">
        <v>88</v>
      </c>
      <c r="H167" s="24" t="s">
        <v>97</v>
      </c>
      <c r="I167" s="24" t="s">
        <v>96</v>
      </c>
      <c r="J167" s="23" t="s">
        <v>1254</v>
      </c>
      <c r="K167" s="25" t="s">
        <v>1500</v>
      </c>
      <c r="L167" s="23" t="s">
        <v>1430</v>
      </c>
      <c r="M167" s="23" t="s">
        <v>890</v>
      </c>
      <c r="N167" s="23" t="s">
        <v>131</v>
      </c>
      <c r="O167" s="23">
        <v>20000</v>
      </c>
      <c r="P167" s="29" t="s">
        <v>879</v>
      </c>
      <c r="Q167" s="23" t="s">
        <v>1501</v>
      </c>
      <c r="R167" s="23"/>
      <c r="S167" s="23" t="s">
        <v>892</v>
      </c>
    </row>
    <row r="168" spans="1:19" ht="28.8" x14ac:dyDescent="0.3">
      <c r="A168" s="23" t="s">
        <v>1502</v>
      </c>
      <c r="B168" s="23" t="s">
        <v>264</v>
      </c>
      <c r="C168" s="23" t="s">
        <v>80</v>
      </c>
      <c r="D168" s="23" t="s">
        <v>756</v>
      </c>
      <c r="E168" s="23" t="s">
        <v>265</v>
      </c>
      <c r="F168" s="23" t="s">
        <v>267</v>
      </c>
      <c r="G168" s="23" t="s">
        <v>88</v>
      </c>
      <c r="H168" s="24" t="s">
        <v>97</v>
      </c>
      <c r="I168" s="24" t="s">
        <v>96</v>
      </c>
      <c r="J168" s="23" t="s">
        <v>1430</v>
      </c>
      <c r="K168" s="25" t="s">
        <v>372</v>
      </c>
      <c r="L168" s="23" t="s">
        <v>1503</v>
      </c>
      <c r="M168" s="23" t="s">
        <v>902</v>
      </c>
      <c r="N168" s="23" t="s">
        <v>131</v>
      </c>
      <c r="O168" s="23">
        <v>20000</v>
      </c>
      <c r="P168" s="29" t="s">
        <v>879</v>
      </c>
      <c r="Q168" s="23" t="s">
        <v>1504</v>
      </c>
      <c r="R168" s="23"/>
      <c r="S168" s="23" t="s">
        <v>939</v>
      </c>
    </row>
    <row r="169" spans="1:19" ht="28.8" x14ac:dyDescent="0.3">
      <c r="A169" s="23" t="s">
        <v>1505</v>
      </c>
      <c r="B169" s="23" t="s">
        <v>264</v>
      </c>
      <c r="C169" s="23" t="s">
        <v>80</v>
      </c>
      <c r="D169" s="23" t="s">
        <v>756</v>
      </c>
      <c r="E169" s="23" t="s">
        <v>265</v>
      </c>
      <c r="F169" s="23" t="s">
        <v>267</v>
      </c>
      <c r="G169" s="23" t="s">
        <v>88</v>
      </c>
      <c r="H169" s="24" t="s">
        <v>97</v>
      </c>
      <c r="I169" s="24" t="s">
        <v>96</v>
      </c>
      <c r="J169" s="23" t="s">
        <v>1503</v>
      </c>
      <c r="K169" s="25" t="s">
        <v>1262</v>
      </c>
      <c r="L169" s="23" t="s">
        <v>1506</v>
      </c>
      <c r="M169" s="23" t="s">
        <v>878</v>
      </c>
      <c r="N169" s="23" t="s">
        <v>929</v>
      </c>
      <c r="O169" s="23">
        <v>25000</v>
      </c>
      <c r="P169" s="29" t="s">
        <v>879</v>
      </c>
      <c r="Q169" s="23" t="s">
        <v>1507</v>
      </c>
      <c r="R169" s="23"/>
      <c r="S169" s="23" t="s">
        <v>881</v>
      </c>
    </row>
    <row r="170" spans="1:19" ht="28.8" x14ac:dyDescent="0.3">
      <c r="A170" s="23" t="s">
        <v>1508</v>
      </c>
      <c r="B170" s="23" t="s">
        <v>264</v>
      </c>
      <c r="C170" s="23" t="s">
        <v>80</v>
      </c>
      <c r="D170" s="23" t="s">
        <v>756</v>
      </c>
      <c r="E170" s="23" t="s">
        <v>265</v>
      </c>
      <c r="F170" s="23" t="s">
        <v>267</v>
      </c>
      <c r="G170" s="23" t="s">
        <v>88</v>
      </c>
      <c r="H170" s="24" t="s">
        <v>97</v>
      </c>
      <c r="I170" s="24" t="s">
        <v>96</v>
      </c>
      <c r="J170" s="23" t="s">
        <v>1506</v>
      </c>
      <c r="K170" s="25" t="s">
        <v>1509</v>
      </c>
      <c r="L170" s="23" t="s">
        <v>1270</v>
      </c>
      <c r="M170" s="23" t="s">
        <v>878</v>
      </c>
      <c r="N170" s="23" t="s">
        <v>920</v>
      </c>
      <c r="O170" s="23">
        <v>15000</v>
      </c>
      <c r="P170" s="29" t="s">
        <v>879</v>
      </c>
      <c r="Q170" s="23" t="s">
        <v>1510</v>
      </c>
      <c r="R170" s="23"/>
      <c r="S170" s="23" t="s">
        <v>881</v>
      </c>
    </row>
    <row r="171" spans="1:19" ht="28.8" x14ac:dyDescent="0.3">
      <c r="A171" s="23" t="s">
        <v>1511</v>
      </c>
      <c r="B171" s="23" t="s">
        <v>264</v>
      </c>
      <c r="C171" s="23" t="s">
        <v>80</v>
      </c>
      <c r="D171" s="23" t="s">
        <v>756</v>
      </c>
      <c r="E171" s="23" t="s">
        <v>265</v>
      </c>
      <c r="F171" s="23" t="s">
        <v>267</v>
      </c>
      <c r="G171" s="23" t="s">
        <v>88</v>
      </c>
      <c r="H171" s="24" t="s">
        <v>97</v>
      </c>
      <c r="I171" s="24" t="s">
        <v>96</v>
      </c>
      <c r="J171" s="23" t="s">
        <v>1270</v>
      </c>
      <c r="K171" s="25" t="s">
        <v>1512</v>
      </c>
      <c r="L171" s="23" t="s">
        <v>1513</v>
      </c>
      <c r="M171" s="23" t="s">
        <v>878</v>
      </c>
      <c r="N171" s="23" t="s">
        <v>131</v>
      </c>
      <c r="O171" s="23">
        <v>25000</v>
      </c>
      <c r="P171" s="29" t="s">
        <v>879</v>
      </c>
      <c r="Q171" s="23" t="s">
        <v>1514</v>
      </c>
      <c r="R171" s="23"/>
      <c r="S171" s="23" t="s">
        <v>931</v>
      </c>
    </row>
    <row r="172" spans="1:19" ht="28.8" x14ac:dyDescent="0.3">
      <c r="A172" s="23" t="s">
        <v>1515</v>
      </c>
      <c r="B172" s="23" t="s">
        <v>264</v>
      </c>
      <c r="C172" s="23" t="s">
        <v>80</v>
      </c>
      <c r="D172" s="23" t="s">
        <v>756</v>
      </c>
      <c r="E172" s="23" t="s">
        <v>265</v>
      </c>
      <c r="F172" s="23" t="s">
        <v>267</v>
      </c>
      <c r="G172" s="23" t="s">
        <v>88</v>
      </c>
      <c r="H172" s="24" t="s">
        <v>97</v>
      </c>
      <c r="I172" s="24" t="s">
        <v>96</v>
      </c>
      <c r="J172" s="23" t="s">
        <v>1516</v>
      </c>
      <c r="K172" s="25" t="s">
        <v>1516</v>
      </c>
      <c r="L172" s="23" t="s">
        <v>1517</v>
      </c>
      <c r="M172" s="23" t="s">
        <v>902</v>
      </c>
      <c r="N172" s="23" t="s">
        <v>111</v>
      </c>
      <c r="O172" s="23">
        <v>30000</v>
      </c>
      <c r="P172" s="29" t="s">
        <v>879</v>
      </c>
      <c r="Q172" s="23" t="s">
        <v>1518</v>
      </c>
      <c r="R172" s="23"/>
      <c r="S172" s="23" t="s">
        <v>939</v>
      </c>
    </row>
    <row r="173" spans="1:19" ht="28.8" x14ac:dyDescent="0.3">
      <c r="A173" s="23" t="s">
        <v>1519</v>
      </c>
      <c r="B173" s="23" t="s">
        <v>264</v>
      </c>
      <c r="C173" s="23" t="s">
        <v>80</v>
      </c>
      <c r="D173" s="23" t="s">
        <v>756</v>
      </c>
      <c r="E173" s="23" t="s">
        <v>265</v>
      </c>
      <c r="F173" s="23" t="s">
        <v>267</v>
      </c>
      <c r="G173" s="23" t="s">
        <v>88</v>
      </c>
      <c r="H173" s="24" t="s">
        <v>97</v>
      </c>
      <c r="I173" s="24" t="s">
        <v>96</v>
      </c>
      <c r="J173" s="23" t="s">
        <v>1517</v>
      </c>
      <c r="K173" s="25" t="s">
        <v>1520</v>
      </c>
      <c r="L173" s="23" t="s">
        <v>1521</v>
      </c>
      <c r="M173" s="23" t="s">
        <v>878</v>
      </c>
      <c r="N173" s="23" t="s">
        <v>920</v>
      </c>
      <c r="O173" s="23">
        <v>15000</v>
      </c>
      <c r="P173" s="29" t="s">
        <v>879</v>
      </c>
      <c r="Q173" s="23" t="s">
        <v>1522</v>
      </c>
      <c r="R173" s="23"/>
      <c r="S173" s="23" t="s">
        <v>926</v>
      </c>
    </row>
    <row r="174" spans="1:19" ht="28.8" x14ac:dyDescent="0.3">
      <c r="A174" s="23" t="s">
        <v>1523</v>
      </c>
      <c r="B174" s="23" t="s">
        <v>264</v>
      </c>
      <c r="C174" s="23" t="s">
        <v>80</v>
      </c>
      <c r="D174" s="23" t="s">
        <v>756</v>
      </c>
      <c r="E174" s="23" t="s">
        <v>265</v>
      </c>
      <c r="F174" s="23" t="s">
        <v>267</v>
      </c>
      <c r="G174" s="23" t="s">
        <v>88</v>
      </c>
      <c r="H174" s="24" t="s">
        <v>97</v>
      </c>
      <c r="I174" s="24" t="s">
        <v>96</v>
      </c>
      <c r="J174" s="23" t="s">
        <v>1524</v>
      </c>
      <c r="K174" s="25" t="s">
        <v>1525</v>
      </c>
      <c r="L174" s="23" t="s">
        <v>453</v>
      </c>
      <c r="M174" s="23" t="s">
        <v>890</v>
      </c>
      <c r="N174" s="23" t="s">
        <v>219</v>
      </c>
      <c r="O174" s="23">
        <v>25000</v>
      </c>
      <c r="P174" s="29" t="s">
        <v>879</v>
      </c>
      <c r="Q174" s="23" t="s">
        <v>1526</v>
      </c>
      <c r="R174" s="23"/>
      <c r="S174" s="23" t="s">
        <v>931</v>
      </c>
    </row>
    <row r="175" spans="1:19" ht="28.8" x14ac:dyDescent="0.3">
      <c r="A175" s="23" t="s">
        <v>1527</v>
      </c>
      <c r="B175" s="23" t="s">
        <v>264</v>
      </c>
      <c r="C175" s="23" t="s">
        <v>80</v>
      </c>
      <c r="D175" s="23" t="s">
        <v>756</v>
      </c>
      <c r="E175" s="23" t="s">
        <v>265</v>
      </c>
      <c r="F175" s="23" t="s">
        <v>267</v>
      </c>
      <c r="G175" s="23" t="s">
        <v>88</v>
      </c>
      <c r="H175" s="24" t="s">
        <v>97</v>
      </c>
      <c r="I175" s="24" t="s">
        <v>96</v>
      </c>
      <c r="J175" s="23" t="s">
        <v>453</v>
      </c>
      <c r="K175" s="25" t="s">
        <v>196</v>
      </c>
      <c r="L175" s="23" t="s">
        <v>271</v>
      </c>
      <c r="M175" s="23" t="s">
        <v>902</v>
      </c>
      <c r="N175" s="23" t="s">
        <v>920</v>
      </c>
      <c r="O175" s="23">
        <v>25000</v>
      </c>
      <c r="P175" s="29" t="s">
        <v>879</v>
      </c>
      <c r="Q175" s="23" t="s">
        <v>1528</v>
      </c>
      <c r="R175" s="23"/>
      <c r="S175" s="23" t="s">
        <v>881</v>
      </c>
    </row>
    <row r="176" spans="1:19" ht="28.8" x14ac:dyDescent="0.3">
      <c r="A176" s="23" t="s">
        <v>1529</v>
      </c>
      <c r="B176" s="23" t="s">
        <v>264</v>
      </c>
      <c r="C176" s="23" t="s">
        <v>80</v>
      </c>
      <c r="D176" s="23" t="s">
        <v>756</v>
      </c>
      <c r="E176" s="23" t="s">
        <v>265</v>
      </c>
      <c r="F176" s="23" t="s">
        <v>267</v>
      </c>
      <c r="G176" s="23" t="s">
        <v>88</v>
      </c>
      <c r="H176" s="24" t="s">
        <v>97</v>
      </c>
      <c r="I176" s="24" t="s">
        <v>96</v>
      </c>
      <c r="J176" s="23" t="s">
        <v>271</v>
      </c>
      <c r="K176" s="25"/>
      <c r="L176" s="23" t="s">
        <v>1530</v>
      </c>
      <c r="M176" s="23" t="s">
        <v>878</v>
      </c>
      <c r="N176" s="23" t="s">
        <v>111</v>
      </c>
      <c r="O176" s="23">
        <v>0</v>
      </c>
      <c r="P176" s="30" t="s">
        <v>948</v>
      </c>
      <c r="Q176" s="23" t="s">
        <v>1531</v>
      </c>
      <c r="R176" s="23"/>
      <c r="S176" s="23" t="s">
        <v>1396</v>
      </c>
    </row>
    <row r="177" spans="1:19" ht="28.8" x14ac:dyDescent="0.3">
      <c r="A177" s="23" t="s">
        <v>1532</v>
      </c>
      <c r="B177" s="23" t="s">
        <v>278</v>
      </c>
      <c r="C177" s="23" t="s">
        <v>80</v>
      </c>
      <c r="D177" s="23" t="s">
        <v>1533</v>
      </c>
      <c r="E177" s="23" t="s">
        <v>280</v>
      </c>
      <c r="F177" s="23" t="s">
        <v>282</v>
      </c>
      <c r="G177" s="23" t="s">
        <v>88</v>
      </c>
      <c r="H177" s="24" t="s">
        <v>97</v>
      </c>
      <c r="I177" s="24" t="s">
        <v>96</v>
      </c>
      <c r="J177" s="23" t="s">
        <v>1534</v>
      </c>
      <c r="K177" s="25" t="s">
        <v>1386</v>
      </c>
      <c r="L177" s="23" t="s">
        <v>1535</v>
      </c>
      <c r="M177" s="23" t="s">
        <v>878</v>
      </c>
      <c r="N177" s="23" t="s">
        <v>920</v>
      </c>
      <c r="O177" s="23">
        <v>25000</v>
      </c>
      <c r="P177" s="29" t="s">
        <v>879</v>
      </c>
      <c r="Q177" s="23" t="s">
        <v>1536</v>
      </c>
      <c r="R177" s="23"/>
      <c r="S177" s="23" t="s">
        <v>881</v>
      </c>
    </row>
    <row r="178" spans="1:19" ht="28.8" x14ac:dyDescent="0.3">
      <c r="A178" s="23" t="s">
        <v>1537</v>
      </c>
      <c r="B178" s="23" t="s">
        <v>278</v>
      </c>
      <c r="C178" s="23" t="s">
        <v>80</v>
      </c>
      <c r="D178" s="23" t="s">
        <v>1533</v>
      </c>
      <c r="E178" s="23" t="s">
        <v>280</v>
      </c>
      <c r="F178" s="23" t="s">
        <v>282</v>
      </c>
      <c r="G178" s="23" t="s">
        <v>88</v>
      </c>
      <c r="H178" s="24" t="s">
        <v>97</v>
      </c>
      <c r="I178" s="24" t="s">
        <v>96</v>
      </c>
      <c r="J178" s="23" t="s">
        <v>1535</v>
      </c>
      <c r="K178" s="25" t="s">
        <v>1387</v>
      </c>
      <c r="L178" s="23" t="s">
        <v>303</v>
      </c>
      <c r="M178" s="23" t="s">
        <v>878</v>
      </c>
      <c r="N178" s="23" t="s">
        <v>111</v>
      </c>
      <c r="O178" s="23">
        <v>20000</v>
      </c>
      <c r="P178" s="29" t="s">
        <v>879</v>
      </c>
      <c r="Q178" s="23" t="s">
        <v>1538</v>
      </c>
      <c r="R178" s="23"/>
      <c r="S178" s="23" t="s">
        <v>931</v>
      </c>
    </row>
    <row r="179" spans="1:19" ht="28.8" x14ac:dyDescent="0.3">
      <c r="A179" s="23" t="s">
        <v>1539</v>
      </c>
      <c r="B179" s="23" t="s">
        <v>278</v>
      </c>
      <c r="C179" s="23" t="s">
        <v>80</v>
      </c>
      <c r="D179" s="23" t="s">
        <v>1533</v>
      </c>
      <c r="E179" s="23" t="s">
        <v>280</v>
      </c>
      <c r="F179" s="23" t="s">
        <v>282</v>
      </c>
      <c r="G179" s="23" t="s">
        <v>88</v>
      </c>
      <c r="H179" s="24" t="s">
        <v>97</v>
      </c>
      <c r="I179" s="24" t="s">
        <v>96</v>
      </c>
      <c r="J179" s="23" t="s">
        <v>303</v>
      </c>
      <c r="K179" s="25" t="s">
        <v>124</v>
      </c>
      <c r="L179" s="23" t="s">
        <v>286</v>
      </c>
      <c r="M179" s="23" t="s">
        <v>890</v>
      </c>
      <c r="N179" s="23" t="s">
        <v>168</v>
      </c>
      <c r="O179" s="23">
        <v>20000</v>
      </c>
      <c r="P179" s="29" t="s">
        <v>879</v>
      </c>
      <c r="Q179" s="23" t="s">
        <v>1540</v>
      </c>
      <c r="R179" s="23"/>
      <c r="S179" s="23" t="s">
        <v>887</v>
      </c>
    </row>
    <row r="180" spans="1:19" ht="28.8" x14ac:dyDescent="0.3">
      <c r="A180" s="23" t="s">
        <v>1541</v>
      </c>
      <c r="B180" s="23" t="s">
        <v>278</v>
      </c>
      <c r="C180" s="23" t="s">
        <v>80</v>
      </c>
      <c r="D180" s="23" t="s">
        <v>1533</v>
      </c>
      <c r="E180" s="23" t="s">
        <v>280</v>
      </c>
      <c r="F180" s="23" t="s">
        <v>282</v>
      </c>
      <c r="G180" s="23" t="s">
        <v>88</v>
      </c>
      <c r="H180" s="24" t="s">
        <v>97</v>
      </c>
      <c r="I180" s="24" t="s">
        <v>96</v>
      </c>
      <c r="J180" s="23" t="s">
        <v>286</v>
      </c>
      <c r="K180" s="25"/>
      <c r="L180" s="23" t="s">
        <v>1542</v>
      </c>
      <c r="M180" s="23" t="s">
        <v>890</v>
      </c>
      <c r="N180" s="23" t="s">
        <v>131</v>
      </c>
      <c r="O180" s="23">
        <v>0</v>
      </c>
      <c r="P180" s="30" t="s">
        <v>948</v>
      </c>
      <c r="Q180" s="23" t="s">
        <v>1543</v>
      </c>
      <c r="R180" s="23"/>
      <c r="S180" s="23" t="s">
        <v>1066</v>
      </c>
    </row>
    <row r="181" spans="1:19" ht="28.8" x14ac:dyDescent="0.3">
      <c r="A181" s="23" t="s">
        <v>1544</v>
      </c>
      <c r="B181" s="23" t="s">
        <v>293</v>
      </c>
      <c r="C181" s="23" t="s">
        <v>80</v>
      </c>
      <c r="D181" s="23" t="s">
        <v>1545</v>
      </c>
      <c r="E181" s="23" t="s">
        <v>295</v>
      </c>
      <c r="F181" s="23" t="s">
        <v>297</v>
      </c>
      <c r="G181" s="23" t="s">
        <v>88</v>
      </c>
      <c r="H181" s="24" t="s">
        <v>97</v>
      </c>
      <c r="I181" s="24" t="s">
        <v>96</v>
      </c>
      <c r="J181" s="23" t="s">
        <v>1546</v>
      </c>
      <c r="K181" s="25" t="s">
        <v>1547</v>
      </c>
      <c r="L181" s="23" t="s">
        <v>1548</v>
      </c>
      <c r="M181" s="23" t="s">
        <v>902</v>
      </c>
      <c r="N181" s="23" t="s">
        <v>896</v>
      </c>
      <c r="O181" s="23">
        <v>25000</v>
      </c>
      <c r="P181" s="29" t="s">
        <v>879</v>
      </c>
      <c r="Q181" s="23" t="s">
        <v>1549</v>
      </c>
      <c r="R181" s="23"/>
      <c r="S181" s="23" t="s">
        <v>898</v>
      </c>
    </row>
    <row r="182" spans="1:19" ht="28.8" x14ac:dyDescent="0.3">
      <c r="A182" s="23" t="s">
        <v>1550</v>
      </c>
      <c r="B182" s="23" t="s">
        <v>293</v>
      </c>
      <c r="C182" s="23" t="s">
        <v>80</v>
      </c>
      <c r="D182" s="23" t="s">
        <v>1545</v>
      </c>
      <c r="E182" s="23" t="s">
        <v>295</v>
      </c>
      <c r="F182" s="23" t="s">
        <v>297</v>
      </c>
      <c r="G182" s="23" t="s">
        <v>88</v>
      </c>
      <c r="H182" s="24" t="s">
        <v>97</v>
      </c>
      <c r="I182" s="24" t="s">
        <v>96</v>
      </c>
      <c r="J182" s="23" t="s">
        <v>1548</v>
      </c>
      <c r="K182" s="25" t="s">
        <v>1551</v>
      </c>
      <c r="L182" s="23" t="s">
        <v>1552</v>
      </c>
      <c r="M182" s="23" t="s">
        <v>890</v>
      </c>
      <c r="N182" s="23" t="s">
        <v>168</v>
      </c>
      <c r="O182" s="23">
        <v>30000</v>
      </c>
      <c r="P182" s="29" t="s">
        <v>879</v>
      </c>
      <c r="Q182" s="23" t="s">
        <v>1553</v>
      </c>
      <c r="R182" s="23"/>
      <c r="S182" s="23" t="s">
        <v>904</v>
      </c>
    </row>
    <row r="183" spans="1:19" ht="28.8" x14ac:dyDescent="0.3">
      <c r="A183" s="23" t="s">
        <v>1554</v>
      </c>
      <c r="B183" s="23" t="s">
        <v>293</v>
      </c>
      <c r="C183" s="23" t="s">
        <v>80</v>
      </c>
      <c r="D183" s="23" t="s">
        <v>1545</v>
      </c>
      <c r="E183" s="23" t="s">
        <v>295</v>
      </c>
      <c r="F183" s="23" t="s">
        <v>297</v>
      </c>
      <c r="G183" s="23" t="s">
        <v>88</v>
      </c>
      <c r="H183" s="24" t="s">
        <v>97</v>
      </c>
      <c r="I183" s="24" t="s">
        <v>96</v>
      </c>
      <c r="J183" s="23" t="s">
        <v>1555</v>
      </c>
      <c r="K183" s="25" t="s">
        <v>1556</v>
      </c>
      <c r="L183" s="23" t="s">
        <v>1557</v>
      </c>
      <c r="M183" s="23" t="s">
        <v>885</v>
      </c>
      <c r="N183" s="23" t="s">
        <v>896</v>
      </c>
      <c r="O183" s="23">
        <v>20000</v>
      </c>
      <c r="P183" s="29" t="s">
        <v>879</v>
      </c>
      <c r="Q183" s="23" t="s">
        <v>1558</v>
      </c>
      <c r="R183" s="23"/>
      <c r="S183" s="23" t="s">
        <v>892</v>
      </c>
    </row>
    <row r="184" spans="1:19" ht="28.8" x14ac:dyDescent="0.3">
      <c r="A184" s="23" t="s">
        <v>1559</v>
      </c>
      <c r="B184" s="23" t="s">
        <v>293</v>
      </c>
      <c r="C184" s="23" t="s">
        <v>80</v>
      </c>
      <c r="D184" s="23" t="s">
        <v>1545</v>
      </c>
      <c r="E184" s="23" t="s">
        <v>295</v>
      </c>
      <c r="F184" s="23" t="s">
        <v>297</v>
      </c>
      <c r="G184" s="23" t="s">
        <v>88</v>
      </c>
      <c r="H184" s="24" t="s">
        <v>97</v>
      </c>
      <c r="I184" s="24" t="s">
        <v>96</v>
      </c>
      <c r="J184" s="23" t="s">
        <v>1557</v>
      </c>
      <c r="K184" s="25" t="s">
        <v>1560</v>
      </c>
      <c r="L184" s="23" t="s">
        <v>1055</v>
      </c>
      <c r="M184" s="23" t="s">
        <v>890</v>
      </c>
      <c r="N184" s="23" t="s">
        <v>131</v>
      </c>
      <c r="O184" s="23">
        <v>25000</v>
      </c>
      <c r="P184" s="29" t="s">
        <v>879</v>
      </c>
      <c r="Q184" s="23" t="s">
        <v>1561</v>
      </c>
      <c r="R184" s="23"/>
      <c r="S184" s="23" t="s">
        <v>892</v>
      </c>
    </row>
    <row r="185" spans="1:19" ht="28.8" x14ac:dyDescent="0.3">
      <c r="A185" s="23" t="s">
        <v>1562</v>
      </c>
      <c r="B185" s="23" t="s">
        <v>293</v>
      </c>
      <c r="C185" s="23" t="s">
        <v>80</v>
      </c>
      <c r="D185" s="23" t="s">
        <v>1545</v>
      </c>
      <c r="E185" s="23" t="s">
        <v>295</v>
      </c>
      <c r="F185" s="23" t="s">
        <v>297</v>
      </c>
      <c r="G185" s="23" t="s">
        <v>88</v>
      </c>
      <c r="H185" s="24" t="s">
        <v>97</v>
      </c>
      <c r="I185" s="24" t="s">
        <v>96</v>
      </c>
      <c r="J185" s="23" t="s">
        <v>1055</v>
      </c>
      <c r="K185" s="25" t="s">
        <v>1563</v>
      </c>
      <c r="L185" s="23" t="s">
        <v>1564</v>
      </c>
      <c r="M185" s="23" t="s">
        <v>890</v>
      </c>
      <c r="N185" s="23" t="s">
        <v>896</v>
      </c>
      <c r="O185" s="23">
        <v>20000</v>
      </c>
      <c r="P185" s="29" t="s">
        <v>879</v>
      </c>
      <c r="Q185" s="23" t="s">
        <v>1565</v>
      </c>
      <c r="R185" s="23"/>
      <c r="S185" s="23" t="s">
        <v>926</v>
      </c>
    </row>
    <row r="186" spans="1:19" ht="28.8" x14ac:dyDescent="0.3">
      <c r="A186" s="23" t="s">
        <v>1566</v>
      </c>
      <c r="B186" s="23" t="s">
        <v>293</v>
      </c>
      <c r="C186" s="23" t="s">
        <v>80</v>
      </c>
      <c r="D186" s="23" t="s">
        <v>1545</v>
      </c>
      <c r="E186" s="23" t="s">
        <v>295</v>
      </c>
      <c r="F186" s="23" t="s">
        <v>297</v>
      </c>
      <c r="G186" s="23" t="s">
        <v>88</v>
      </c>
      <c r="H186" s="24" t="s">
        <v>97</v>
      </c>
      <c r="I186" s="24" t="s">
        <v>96</v>
      </c>
      <c r="J186" s="23" t="s">
        <v>1564</v>
      </c>
      <c r="K186" s="25" t="s">
        <v>1567</v>
      </c>
      <c r="L186" s="23" t="s">
        <v>1568</v>
      </c>
      <c r="M186" s="23" t="s">
        <v>902</v>
      </c>
      <c r="N186" s="23" t="s">
        <v>131</v>
      </c>
      <c r="O186" s="23">
        <v>15000</v>
      </c>
      <c r="P186" s="29" t="s">
        <v>879</v>
      </c>
      <c r="Q186" s="23" t="s">
        <v>1569</v>
      </c>
      <c r="R186" s="23"/>
      <c r="S186" s="23" t="s">
        <v>898</v>
      </c>
    </row>
    <row r="187" spans="1:19" ht="28.8" x14ac:dyDescent="0.3">
      <c r="A187" s="23" t="s">
        <v>1570</v>
      </c>
      <c r="B187" s="23" t="s">
        <v>293</v>
      </c>
      <c r="C187" s="23" t="s">
        <v>80</v>
      </c>
      <c r="D187" s="23" t="s">
        <v>1545</v>
      </c>
      <c r="E187" s="23" t="s">
        <v>295</v>
      </c>
      <c r="F187" s="23" t="s">
        <v>297</v>
      </c>
      <c r="G187" s="23" t="s">
        <v>88</v>
      </c>
      <c r="H187" s="24" t="s">
        <v>97</v>
      </c>
      <c r="I187" s="24" t="s">
        <v>96</v>
      </c>
      <c r="J187" s="23" t="s">
        <v>1568</v>
      </c>
      <c r="K187" s="25" t="s">
        <v>1568</v>
      </c>
      <c r="L187" s="23" t="s">
        <v>1571</v>
      </c>
      <c r="M187" s="23" t="s">
        <v>885</v>
      </c>
      <c r="N187" s="23" t="s">
        <v>920</v>
      </c>
      <c r="O187" s="23">
        <v>15000</v>
      </c>
      <c r="P187" s="29" t="s">
        <v>879</v>
      </c>
      <c r="Q187" s="23" t="s">
        <v>1572</v>
      </c>
      <c r="R187" s="23"/>
      <c r="S187" s="23" t="s">
        <v>904</v>
      </c>
    </row>
    <row r="188" spans="1:19" ht="28.8" x14ac:dyDescent="0.3">
      <c r="A188" s="23" t="s">
        <v>1573</v>
      </c>
      <c r="B188" s="23" t="s">
        <v>293</v>
      </c>
      <c r="C188" s="23" t="s">
        <v>80</v>
      </c>
      <c r="D188" s="23" t="s">
        <v>1545</v>
      </c>
      <c r="E188" s="23" t="s">
        <v>295</v>
      </c>
      <c r="F188" s="23" t="s">
        <v>297</v>
      </c>
      <c r="G188" s="23" t="s">
        <v>88</v>
      </c>
      <c r="H188" s="24" t="s">
        <v>97</v>
      </c>
      <c r="I188" s="24" t="s">
        <v>96</v>
      </c>
      <c r="J188" s="23" t="s">
        <v>1571</v>
      </c>
      <c r="K188" s="25" t="s">
        <v>301</v>
      </c>
      <c r="L188" s="23" t="s">
        <v>1574</v>
      </c>
      <c r="M188" s="23" t="s">
        <v>878</v>
      </c>
      <c r="N188" s="23" t="s">
        <v>219</v>
      </c>
      <c r="O188" s="23">
        <v>20000</v>
      </c>
      <c r="P188" s="29" t="s">
        <v>879</v>
      </c>
      <c r="Q188" s="23" t="s">
        <v>1575</v>
      </c>
      <c r="R188" s="23"/>
      <c r="S188" s="23" t="s">
        <v>904</v>
      </c>
    </row>
    <row r="189" spans="1:19" ht="28.8" x14ac:dyDescent="0.3">
      <c r="A189" s="23" t="s">
        <v>1576</v>
      </c>
      <c r="B189" s="23" t="s">
        <v>293</v>
      </c>
      <c r="C189" s="23" t="s">
        <v>80</v>
      </c>
      <c r="D189" s="23" t="s">
        <v>1545</v>
      </c>
      <c r="E189" s="23" t="s">
        <v>295</v>
      </c>
      <c r="F189" s="23" t="s">
        <v>297</v>
      </c>
      <c r="G189" s="23" t="s">
        <v>88</v>
      </c>
      <c r="H189" s="24" t="s">
        <v>97</v>
      </c>
      <c r="I189" s="24" t="s">
        <v>96</v>
      </c>
      <c r="J189" s="23" t="s">
        <v>302</v>
      </c>
      <c r="K189" s="25"/>
      <c r="L189" s="23" t="s">
        <v>1577</v>
      </c>
      <c r="M189" s="23" t="s">
        <v>878</v>
      </c>
      <c r="N189" s="23" t="s">
        <v>219</v>
      </c>
      <c r="O189" s="23">
        <v>0</v>
      </c>
      <c r="P189" s="30" t="s">
        <v>948</v>
      </c>
      <c r="Q189" s="23" t="s">
        <v>1578</v>
      </c>
      <c r="R189" s="23"/>
      <c r="S189" s="23" t="s">
        <v>1066</v>
      </c>
    </row>
    <row r="190" spans="1:19" ht="28.8" x14ac:dyDescent="0.3">
      <c r="A190" s="23" t="s">
        <v>1579</v>
      </c>
      <c r="B190" s="23" t="s">
        <v>310</v>
      </c>
      <c r="C190" s="23" t="s">
        <v>80</v>
      </c>
      <c r="D190" s="23" t="s">
        <v>1580</v>
      </c>
      <c r="E190" s="23" t="s">
        <v>312</v>
      </c>
      <c r="F190" s="23" t="s">
        <v>314</v>
      </c>
      <c r="G190" s="23" t="s">
        <v>88</v>
      </c>
      <c r="H190" s="24" t="s">
        <v>97</v>
      </c>
      <c r="I190" s="24" t="s">
        <v>96</v>
      </c>
      <c r="J190" s="23" t="s">
        <v>1581</v>
      </c>
      <c r="K190" s="25" t="s">
        <v>1582</v>
      </c>
      <c r="L190" s="23" t="s">
        <v>1160</v>
      </c>
      <c r="M190" s="23" t="s">
        <v>890</v>
      </c>
      <c r="N190" s="23" t="s">
        <v>896</v>
      </c>
      <c r="O190" s="23">
        <v>30000</v>
      </c>
      <c r="P190" s="29" t="s">
        <v>879</v>
      </c>
      <c r="Q190" s="23" t="s">
        <v>1583</v>
      </c>
      <c r="R190" s="23" t="s">
        <v>1584</v>
      </c>
      <c r="S190" s="23" t="s">
        <v>881</v>
      </c>
    </row>
    <row r="191" spans="1:19" ht="28.8" x14ac:dyDescent="0.3">
      <c r="A191" s="23" t="s">
        <v>1585</v>
      </c>
      <c r="B191" s="23" t="s">
        <v>310</v>
      </c>
      <c r="C191" s="23" t="s">
        <v>80</v>
      </c>
      <c r="D191" s="23" t="s">
        <v>1580</v>
      </c>
      <c r="E191" s="23" t="s">
        <v>312</v>
      </c>
      <c r="F191" s="23" t="s">
        <v>314</v>
      </c>
      <c r="G191" s="23" t="s">
        <v>88</v>
      </c>
      <c r="H191" s="24" t="s">
        <v>97</v>
      </c>
      <c r="I191" s="24" t="s">
        <v>96</v>
      </c>
      <c r="J191" s="23" t="s">
        <v>1160</v>
      </c>
      <c r="K191" s="25" t="s">
        <v>1306</v>
      </c>
      <c r="L191" s="23" t="s">
        <v>1163</v>
      </c>
      <c r="M191" s="23" t="s">
        <v>885</v>
      </c>
      <c r="N191" s="23" t="s">
        <v>168</v>
      </c>
      <c r="O191" s="23">
        <v>15000</v>
      </c>
      <c r="P191" s="29" t="s">
        <v>879</v>
      </c>
      <c r="Q191" s="23" t="s">
        <v>1586</v>
      </c>
      <c r="R191" s="23"/>
      <c r="S191" s="23" t="s">
        <v>892</v>
      </c>
    </row>
    <row r="192" spans="1:19" ht="28.8" x14ac:dyDescent="0.3">
      <c r="A192" s="23" t="s">
        <v>1587</v>
      </c>
      <c r="B192" s="23" t="s">
        <v>310</v>
      </c>
      <c r="C192" s="23" t="s">
        <v>80</v>
      </c>
      <c r="D192" s="23" t="s">
        <v>1580</v>
      </c>
      <c r="E192" s="23" t="s">
        <v>312</v>
      </c>
      <c r="F192" s="23" t="s">
        <v>314</v>
      </c>
      <c r="G192" s="23" t="s">
        <v>88</v>
      </c>
      <c r="H192" s="24" t="s">
        <v>97</v>
      </c>
      <c r="I192" s="24" t="s">
        <v>96</v>
      </c>
      <c r="J192" s="23" t="s">
        <v>1163</v>
      </c>
      <c r="K192" s="25" t="s">
        <v>1588</v>
      </c>
      <c r="L192" s="23" t="s">
        <v>1589</v>
      </c>
      <c r="M192" s="23" t="s">
        <v>885</v>
      </c>
      <c r="N192" s="23" t="s">
        <v>131</v>
      </c>
      <c r="O192" s="23">
        <v>15000</v>
      </c>
      <c r="P192" s="29" t="s">
        <v>879</v>
      </c>
      <c r="Q192" s="23" t="s">
        <v>1590</v>
      </c>
      <c r="R192" s="23"/>
      <c r="S192" s="23" t="s">
        <v>926</v>
      </c>
    </row>
    <row r="193" spans="1:19" ht="28.8" x14ac:dyDescent="0.3">
      <c r="A193" s="23" t="s">
        <v>1591</v>
      </c>
      <c r="B193" s="23" t="s">
        <v>310</v>
      </c>
      <c r="C193" s="23" t="s">
        <v>80</v>
      </c>
      <c r="D193" s="23" t="s">
        <v>1580</v>
      </c>
      <c r="E193" s="23" t="s">
        <v>312</v>
      </c>
      <c r="F193" s="23" t="s">
        <v>314</v>
      </c>
      <c r="G193" s="23" t="s">
        <v>88</v>
      </c>
      <c r="H193" s="24" t="s">
        <v>97</v>
      </c>
      <c r="I193" s="24" t="s">
        <v>96</v>
      </c>
      <c r="J193" s="23" t="s">
        <v>1589</v>
      </c>
      <c r="K193" s="25" t="s">
        <v>1164</v>
      </c>
      <c r="L193" s="23" t="s">
        <v>1592</v>
      </c>
      <c r="M193" s="23" t="s">
        <v>890</v>
      </c>
      <c r="N193" s="23" t="s">
        <v>920</v>
      </c>
      <c r="O193" s="23">
        <v>25000</v>
      </c>
      <c r="P193" s="29" t="s">
        <v>879</v>
      </c>
      <c r="Q193" s="23" t="s">
        <v>1593</v>
      </c>
      <c r="R193" s="23"/>
      <c r="S193" s="23" t="s">
        <v>904</v>
      </c>
    </row>
    <row r="194" spans="1:19" ht="28.8" x14ac:dyDescent="0.3">
      <c r="A194" s="23" t="s">
        <v>1594</v>
      </c>
      <c r="B194" s="23" t="s">
        <v>310</v>
      </c>
      <c r="C194" s="23" t="s">
        <v>80</v>
      </c>
      <c r="D194" s="23" t="s">
        <v>1580</v>
      </c>
      <c r="E194" s="23" t="s">
        <v>312</v>
      </c>
      <c r="F194" s="23" t="s">
        <v>314</v>
      </c>
      <c r="G194" s="23" t="s">
        <v>88</v>
      </c>
      <c r="H194" s="24" t="s">
        <v>97</v>
      </c>
      <c r="I194" s="24" t="s">
        <v>96</v>
      </c>
      <c r="J194" s="23" t="s">
        <v>1592</v>
      </c>
      <c r="K194" s="25" t="s">
        <v>1595</v>
      </c>
      <c r="L194" s="23" t="s">
        <v>1596</v>
      </c>
      <c r="M194" s="23" t="s">
        <v>902</v>
      </c>
      <c r="N194" s="23" t="s">
        <v>920</v>
      </c>
      <c r="O194" s="23">
        <v>25000</v>
      </c>
      <c r="P194" s="29" t="s">
        <v>879</v>
      </c>
      <c r="Q194" s="23" t="s">
        <v>1597</v>
      </c>
      <c r="R194" s="23"/>
      <c r="S194" s="23" t="s">
        <v>926</v>
      </c>
    </row>
    <row r="195" spans="1:19" ht="28.8" x14ac:dyDescent="0.3">
      <c r="A195" s="23" t="s">
        <v>1598</v>
      </c>
      <c r="B195" s="23" t="s">
        <v>310</v>
      </c>
      <c r="C195" s="23" t="s">
        <v>80</v>
      </c>
      <c r="D195" s="23" t="s">
        <v>1580</v>
      </c>
      <c r="E195" s="23" t="s">
        <v>312</v>
      </c>
      <c r="F195" s="23" t="s">
        <v>314</v>
      </c>
      <c r="G195" s="23" t="s">
        <v>88</v>
      </c>
      <c r="H195" s="24" t="s">
        <v>97</v>
      </c>
      <c r="I195" s="24" t="s">
        <v>96</v>
      </c>
      <c r="J195" s="23" t="s">
        <v>1596</v>
      </c>
      <c r="K195" s="25" t="s">
        <v>1599</v>
      </c>
      <c r="L195" s="23" t="s">
        <v>1325</v>
      </c>
      <c r="M195" s="23" t="s">
        <v>885</v>
      </c>
      <c r="N195" s="23" t="s">
        <v>219</v>
      </c>
      <c r="O195" s="23">
        <v>25000</v>
      </c>
      <c r="P195" s="29" t="s">
        <v>879</v>
      </c>
      <c r="Q195" s="23" t="s">
        <v>1600</v>
      </c>
      <c r="R195" s="23"/>
      <c r="S195" s="23" t="s">
        <v>904</v>
      </c>
    </row>
    <row r="196" spans="1:19" ht="28.8" x14ac:dyDescent="0.3">
      <c r="A196" s="23" t="s">
        <v>1601</v>
      </c>
      <c r="B196" s="23" t="s">
        <v>310</v>
      </c>
      <c r="C196" s="23" t="s">
        <v>80</v>
      </c>
      <c r="D196" s="23" t="s">
        <v>1580</v>
      </c>
      <c r="E196" s="23" t="s">
        <v>312</v>
      </c>
      <c r="F196" s="23" t="s">
        <v>314</v>
      </c>
      <c r="G196" s="23" t="s">
        <v>88</v>
      </c>
      <c r="H196" s="24" t="s">
        <v>97</v>
      </c>
      <c r="I196" s="24" t="s">
        <v>96</v>
      </c>
      <c r="J196" s="23" t="s">
        <v>1325</v>
      </c>
      <c r="K196" s="25" t="s">
        <v>1602</v>
      </c>
      <c r="L196" s="23" t="s">
        <v>656</v>
      </c>
      <c r="M196" s="23" t="s">
        <v>902</v>
      </c>
      <c r="N196" s="23" t="s">
        <v>896</v>
      </c>
      <c r="O196" s="23">
        <v>25000</v>
      </c>
      <c r="P196" s="29" t="s">
        <v>879</v>
      </c>
      <c r="Q196" s="23" t="s">
        <v>1603</v>
      </c>
      <c r="R196" s="23"/>
      <c r="S196" s="23" t="s">
        <v>904</v>
      </c>
    </row>
    <row r="197" spans="1:19" ht="28.8" x14ac:dyDescent="0.3">
      <c r="A197" s="23" t="s">
        <v>1604</v>
      </c>
      <c r="B197" s="23" t="s">
        <v>310</v>
      </c>
      <c r="C197" s="23" t="s">
        <v>80</v>
      </c>
      <c r="D197" s="23" t="s">
        <v>1580</v>
      </c>
      <c r="E197" s="23" t="s">
        <v>312</v>
      </c>
      <c r="F197" s="23" t="s">
        <v>314</v>
      </c>
      <c r="G197" s="23" t="s">
        <v>88</v>
      </c>
      <c r="H197" s="24" t="s">
        <v>97</v>
      </c>
      <c r="I197" s="24" t="s">
        <v>96</v>
      </c>
      <c r="J197" s="23" t="s">
        <v>656</v>
      </c>
      <c r="K197" s="25" t="s">
        <v>235</v>
      </c>
      <c r="L197" s="23" t="s">
        <v>318</v>
      </c>
      <c r="M197" s="23" t="s">
        <v>885</v>
      </c>
      <c r="N197" s="23" t="s">
        <v>920</v>
      </c>
      <c r="O197" s="23">
        <v>30000</v>
      </c>
      <c r="P197" s="29" t="s">
        <v>879</v>
      </c>
      <c r="Q197" s="23" t="s">
        <v>1605</v>
      </c>
      <c r="R197" s="23"/>
      <c r="S197" s="23" t="s">
        <v>881</v>
      </c>
    </row>
    <row r="198" spans="1:19" ht="28.8" x14ac:dyDescent="0.3">
      <c r="A198" s="23" t="s">
        <v>1606</v>
      </c>
      <c r="B198" s="23" t="s">
        <v>310</v>
      </c>
      <c r="C198" s="23" t="s">
        <v>80</v>
      </c>
      <c r="D198" s="23" t="s">
        <v>1580</v>
      </c>
      <c r="E198" s="23" t="s">
        <v>312</v>
      </c>
      <c r="F198" s="23" t="s">
        <v>314</v>
      </c>
      <c r="G198" s="23" t="s">
        <v>88</v>
      </c>
      <c r="H198" s="24" t="s">
        <v>97</v>
      </c>
      <c r="I198" s="24" t="s">
        <v>96</v>
      </c>
      <c r="J198" s="23" t="s">
        <v>318</v>
      </c>
      <c r="K198" s="25" t="s">
        <v>318</v>
      </c>
      <c r="L198" s="23" t="s">
        <v>1607</v>
      </c>
      <c r="M198" s="23" t="s">
        <v>890</v>
      </c>
      <c r="N198" s="23" t="s">
        <v>131</v>
      </c>
      <c r="O198" s="23">
        <v>15000</v>
      </c>
      <c r="P198" s="29" t="s">
        <v>879</v>
      </c>
      <c r="Q198" s="23" t="s">
        <v>1608</v>
      </c>
      <c r="R198" s="23"/>
      <c r="S198" s="23" t="s">
        <v>904</v>
      </c>
    </row>
    <row r="199" spans="1:19" ht="28.8" x14ac:dyDescent="0.3">
      <c r="A199" s="23" t="s">
        <v>1609</v>
      </c>
      <c r="B199" s="23" t="s">
        <v>324</v>
      </c>
      <c r="C199" s="23" t="s">
        <v>80</v>
      </c>
      <c r="D199" s="23" t="s">
        <v>779</v>
      </c>
      <c r="E199" s="23" t="s">
        <v>326</v>
      </c>
      <c r="F199" s="23" t="s">
        <v>328</v>
      </c>
      <c r="G199" s="23" t="s">
        <v>175</v>
      </c>
      <c r="H199" s="24" t="s">
        <v>97</v>
      </c>
      <c r="I199" s="24" t="s">
        <v>96</v>
      </c>
      <c r="J199" s="23" t="s">
        <v>1039</v>
      </c>
      <c r="K199" s="25" t="s">
        <v>1039</v>
      </c>
      <c r="L199" s="23" t="s">
        <v>1043</v>
      </c>
      <c r="M199" s="23" t="s">
        <v>878</v>
      </c>
      <c r="N199" s="23" t="s">
        <v>111</v>
      </c>
      <c r="O199" s="23">
        <v>15000</v>
      </c>
      <c r="P199" s="29" t="s">
        <v>879</v>
      </c>
      <c r="Q199" s="23" t="s">
        <v>1610</v>
      </c>
      <c r="R199" s="23"/>
      <c r="S199" s="23" t="s">
        <v>904</v>
      </c>
    </row>
    <row r="200" spans="1:19" ht="28.8" x14ac:dyDescent="0.3">
      <c r="A200" s="23" t="s">
        <v>1611</v>
      </c>
      <c r="B200" s="23" t="s">
        <v>324</v>
      </c>
      <c r="C200" s="23" t="s">
        <v>80</v>
      </c>
      <c r="D200" s="23" t="s">
        <v>779</v>
      </c>
      <c r="E200" s="23" t="s">
        <v>326</v>
      </c>
      <c r="F200" s="23" t="s">
        <v>328</v>
      </c>
      <c r="G200" s="23" t="s">
        <v>175</v>
      </c>
      <c r="H200" s="24" t="s">
        <v>97</v>
      </c>
      <c r="I200" s="24" t="s">
        <v>96</v>
      </c>
      <c r="J200" s="23" t="s">
        <v>1043</v>
      </c>
      <c r="K200" s="25" t="s">
        <v>1612</v>
      </c>
      <c r="L200" s="23" t="s">
        <v>1613</v>
      </c>
      <c r="M200" s="23" t="s">
        <v>878</v>
      </c>
      <c r="N200" s="23" t="s">
        <v>929</v>
      </c>
      <c r="O200" s="23">
        <v>25000</v>
      </c>
      <c r="P200" s="29" t="s">
        <v>879</v>
      </c>
      <c r="Q200" s="23" t="s">
        <v>1614</v>
      </c>
      <c r="R200" s="23"/>
      <c r="S200" s="23" t="s">
        <v>931</v>
      </c>
    </row>
    <row r="201" spans="1:19" ht="28.8" x14ac:dyDescent="0.3">
      <c r="A201" s="23" t="s">
        <v>1615</v>
      </c>
      <c r="B201" s="23" t="s">
        <v>324</v>
      </c>
      <c r="C201" s="23" t="s">
        <v>80</v>
      </c>
      <c r="D201" s="23" t="s">
        <v>779</v>
      </c>
      <c r="E201" s="23" t="s">
        <v>326</v>
      </c>
      <c r="F201" s="23" t="s">
        <v>328</v>
      </c>
      <c r="G201" s="23" t="s">
        <v>175</v>
      </c>
      <c r="H201" s="24" t="s">
        <v>97</v>
      </c>
      <c r="I201" s="24" t="s">
        <v>96</v>
      </c>
      <c r="J201" s="23" t="s">
        <v>1613</v>
      </c>
      <c r="K201" s="25" t="s">
        <v>1044</v>
      </c>
      <c r="L201" s="23" t="s">
        <v>1560</v>
      </c>
      <c r="M201" s="23" t="s">
        <v>885</v>
      </c>
      <c r="N201" s="23" t="s">
        <v>896</v>
      </c>
      <c r="O201" s="23">
        <v>25000</v>
      </c>
      <c r="P201" s="29" t="s">
        <v>879</v>
      </c>
      <c r="Q201" s="23" t="s">
        <v>1616</v>
      </c>
      <c r="R201" s="23"/>
      <c r="S201" s="23" t="s">
        <v>939</v>
      </c>
    </row>
    <row r="202" spans="1:19" ht="28.8" x14ac:dyDescent="0.3">
      <c r="A202" s="23" t="s">
        <v>1617</v>
      </c>
      <c r="B202" s="23" t="s">
        <v>324</v>
      </c>
      <c r="C202" s="23" t="s">
        <v>80</v>
      </c>
      <c r="D202" s="23" t="s">
        <v>779</v>
      </c>
      <c r="E202" s="23" t="s">
        <v>326</v>
      </c>
      <c r="F202" s="23" t="s">
        <v>328</v>
      </c>
      <c r="G202" s="23" t="s">
        <v>175</v>
      </c>
      <c r="H202" s="23" t="s">
        <v>97</v>
      </c>
      <c r="I202" s="23" t="s">
        <v>96</v>
      </c>
      <c r="J202" s="23" t="s">
        <v>1560</v>
      </c>
      <c r="K202" s="23" t="s">
        <v>1618</v>
      </c>
      <c r="L202" s="23" t="s">
        <v>1619</v>
      </c>
      <c r="M202" s="23" t="s">
        <v>902</v>
      </c>
      <c r="N202" s="23" t="s">
        <v>219</v>
      </c>
      <c r="O202" s="23">
        <v>30000</v>
      </c>
      <c r="P202" s="29" t="s">
        <v>879</v>
      </c>
      <c r="Q202" s="23" t="s">
        <v>1620</v>
      </c>
      <c r="R202" s="23"/>
      <c r="S202" s="23" t="s">
        <v>898</v>
      </c>
    </row>
    <row r="203" spans="1:19" ht="28.8" x14ac:dyDescent="0.3">
      <c r="A203" s="23" t="s">
        <v>1621</v>
      </c>
      <c r="B203" s="23" t="s">
        <v>324</v>
      </c>
      <c r="C203" s="23" t="s">
        <v>80</v>
      </c>
      <c r="D203" s="23" t="s">
        <v>779</v>
      </c>
      <c r="E203" s="23" t="s">
        <v>326</v>
      </c>
      <c r="F203" s="23" t="s">
        <v>328</v>
      </c>
      <c r="G203" s="23" t="s">
        <v>175</v>
      </c>
      <c r="H203" s="23" t="s">
        <v>97</v>
      </c>
      <c r="I203" s="23" t="s">
        <v>96</v>
      </c>
      <c r="J203" s="23" t="s">
        <v>1619</v>
      </c>
      <c r="K203" s="23" t="s">
        <v>1622</v>
      </c>
      <c r="L203" s="23" t="s">
        <v>1623</v>
      </c>
      <c r="M203" s="23" t="s">
        <v>878</v>
      </c>
      <c r="N203" s="23" t="s">
        <v>920</v>
      </c>
      <c r="O203" s="23">
        <v>25000</v>
      </c>
      <c r="P203" s="29" t="s">
        <v>879</v>
      </c>
      <c r="Q203" s="23" t="s">
        <v>1624</v>
      </c>
      <c r="R203" s="23"/>
      <c r="S203" s="23" t="s">
        <v>931</v>
      </c>
    </row>
    <row r="204" spans="1:19" ht="28.8" x14ac:dyDescent="0.3">
      <c r="A204" s="23" t="s">
        <v>1625</v>
      </c>
      <c r="B204" s="23" t="s">
        <v>324</v>
      </c>
      <c r="C204" s="23" t="s">
        <v>80</v>
      </c>
      <c r="D204" s="23" t="s">
        <v>779</v>
      </c>
      <c r="E204" s="23" t="s">
        <v>326</v>
      </c>
      <c r="F204" s="23" t="s">
        <v>328</v>
      </c>
      <c r="G204" s="23" t="s">
        <v>175</v>
      </c>
      <c r="H204" s="23" t="s">
        <v>97</v>
      </c>
      <c r="I204" s="23" t="s">
        <v>96</v>
      </c>
      <c r="J204" s="23" t="s">
        <v>1623</v>
      </c>
      <c r="K204" s="23" t="s">
        <v>1626</v>
      </c>
      <c r="L204" s="23" t="s">
        <v>1534</v>
      </c>
      <c r="M204" s="23" t="s">
        <v>902</v>
      </c>
      <c r="N204" s="23" t="s">
        <v>219</v>
      </c>
      <c r="O204" s="23">
        <v>25000</v>
      </c>
      <c r="P204" s="29" t="s">
        <v>879</v>
      </c>
      <c r="Q204" s="23" t="s">
        <v>1627</v>
      </c>
      <c r="R204" s="23" t="s">
        <v>945</v>
      </c>
      <c r="S204" s="23" t="s">
        <v>926</v>
      </c>
    </row>
    <row r="205" spans="1:19" ht="28.8" x14ac:dyDescent="0.3">
      <c r="A205" s="23" t="s">
        <v>1628</v>
      </c>
      <c r="B205" s="23" t="s">
        <v>324</v>
      </c>
      <c r="C205" s="23" t="s">
        <v>80</v>
      </c>
      <c r="D205" s="23" t="s">
        <v>779</v>
      </c>
      <c r="E205" s="23" t="s">
        <v>326</v>
      </c>
      <c r="F205" s="23" t="s">
        <v>328</v>
      </c>
      <c r="G205" s="23" t="s">
        <v>175</v>
      </c>
      <c r="H205" s="23" t="s">
        <v>97</v>
      </c>
      <c r="I205" s="23" t="s">
        <v>96</v>
      </c>
      <c r="J205" s="23" t="s">
        <v>1534</v>
      </c>
      <c r="K205" s="23" t="s">
        <v>1059</v>
      </c>
      <c r="L205" s="23" t="s">
        <v>1535</v>
      </c>
      <c r="M205" s="23" t="s">
        <v>890</v>
      </c>
      <c r="N205" s="23" t="s">
        <v>168</v>
      </c>
      <c r="O205" s="23">
        <v>15000</v>
      </c>
      <c r="P205" s="29" t="s">
        <v>879</v>
      </c>
      <c r="Q205" s="23" t="s">
        <v>1629</v>
      </c>
      <c r="R205" s="23"/>
      <c r="S205" s="23" t="s">
        <v>926</v>
      </c>
    </row>
    <row r="206" spans="1:19" ht="28.8" x14ac:dyDescent="0.3">
      <c r="A206" s="23" t="s">
        <v>1630</v>
      </c>
      <c r="B206" s="23" t="s">
        <v>324</v>
      </c>
      <c r="C206" s="23" t="s">
        <v>80</v>
      </c>
      <c r="D206" s="23" t="s">
        <v>779</v>
      </c>
      <c r="E206" s="23" t="s">
        <v>326</v>
      </c>
      <c r="F206" s="23" t="s">
        <v>328</v>
      </c>
      <c r="G206" s="23" t="s">
        <v>175</v>
      </c>
      <c r="H206" s="23" t="s">
        <v>97</v>
      </c>
      <c r="I206" s="23" t="s">
        <v>96</v>
      </c>
      <c r="J206" s="23" t="s">
        <v>1535</v>
      </c>
      <c r="K206" s="23" t="s">
        <v>1631</v>
      </c>
      <c r="L206" s="23" t="s">
        <v>303</v>
      </c>
      <c r="M206" s="23" t="s">
        <v>878</v>
      </c>
      <c r="N206" s="23" t="s">
        <v>219</v>
      </c>
      <c r="O206" s="23">
        <v>25000</v>
      </c>
      <c r="P206" s="29" t="s">
        <v>879</v>
      </c>
      <c r="Q206" s="23" t="s">
        <v>1632</v>
      </c>
      <c r="R206" s="23"/>
      <c r="S206" s="23" t="s">
        <v>898</v>
      </c>
    </row>
    <row r="207" spans="1:19" ht="28.8" x14ac:dyDescent="0.3">
      <c r="A207" s="23" t="s">
        <v>1633</v>
      </c>
      <c r="B207" s="23" t="s">
        <v>324</v>
      </c>
      <c r="C207" s="23" t="s">
        <v>80</v>
      </c>
      <c r="D207" s="23" t="s">
        <v>779</v>
      </c>
      <c r="E207" s="23" t="s">
        <v>326</v>
      </c>
      <c r="F207" s="23" t="s">
        <v>328</v>
      </c>
      <c r="G207" s="23" t="s">
        <v>175</v>
      </c>
      <c r="H207" s="23" t="s">
        <v>97</v>
      </c>
      <c r="I207" s="23" t="s">
        <v>96</v>
      </c>
      <c r="J207" s="23" t="s">
        <v>303</v>
      </c>
      <c r="K207" s="23" t="s">
        <v>331</v>
      </c>
      <c r="L207" s="23" t="s">
        <v>286</v>
      </c>
      <c r="M207" s="23" t="s">
        <v>902</v>
      </c>
      <c r="N207" s="23" t="s">
        <v>219</v>
      </c>
      <c r="O207" s="23">
        <v>20000</v>
      </c>
      <c r="P207" s="29" t="s">
        <v>879</v>
      </c>
      <c r="Q207" s="23" t="s">
        <v>1634</v>
      </c>
      <c r="R207" s="23"/>
      <c r="S207" s="23" t="s">
        <v>931</v>
      </c>
    </row>
    <row r="208" spans="1:19" ht="28.8" x14ac:dyDescent="0.3">
      <c r="A208" s="23" t="s">
        <v>1635</v>
      </c>
      <c r="B208" s="23" t="s">
        <v>324</v>
      </c>
      <c r="C208" s="23" t="s">
        <v>80</v>
      </c>
      <c r="D208" s="23" t="s">
        <v>779</v>
      </c>
      <c r="E208" s="23" t="s">
        <v>326</v>
      </c>
      <c r="F208" s="23" t="s">
        <v>328</v>
      </c>
      <c r="G208" s="23" t="s">
        <v>175</v>
      </c>
      <c r="H208" s="23" t="s">
        <v>97</v>
      </c>
      <c r="I208" s="23" t="s">
        <v>96</v>
      </c>
      <c r="J208" s="23" t="s">
        <v>286</v>
      </c>
      <c r="K208" s="23"/>
      <c r="L208" s="23" t="s">
        <v>1542</v>
      </c>
      <c r="M208" s="23" t="s">
        <v>890</v>
      </c>
      <c r="N208" s="23" t="s">
        <v>920</v>
      </c>
      <c r="O208" s="23">
        <v>0</v>
      </c>
      <c r="P208" s="30" t="s">
        <v>948</v>
      </c>
      <c r="Q208" s="23" t="s">
        <v>1636</v>
      </c>
      <c r="R208" s="23"/>
      <c r="S208" s="23" t="s">
        <v>950</v>
      </c>
    </row>
    <row r="209" spans="1:19" ht="28.8" x14ac:dyDescent="0.3">
      <c r="A209" s="23" t="s">
        <v>1637</v>
      </c>
      <c r="B209" s="23" t="s">
        <v>337</v>
      </c>
      <c r="C209" s="23" t="s">
        <v>80</v>
      </c>
      <c r="D209" s="23" t="s">
        <v>1638</v>
      </c>
      <c r="E209" s="23" t="s">
        <v>340</v>
      </c>
      <c r="F209" s="23" t="s">
        <v>342</v>
      </c>
      <c r="G209" s="23" t="s">
        <v>88</v>
      </c>
      <c r="H209" s="23" t="s">
        <v>97</v>
      </c>
      <c r="I209" s="23" t="s">
        <v>96</v>
      </c>
      <c r="J209" s="23" t="s">
        <v>1077</v>
      </c>
      <c r="K209" s="23" t="s">
        <v>1639</v>
      </c>
      <c r="L209" s="23" t="s">
        <v>1081</v>
      </c>
      <c r="M209" s="23" t="s">
        <v>902</v>
      </c>
      <c r="N209" s="23" t="s">
        <v>219</v>
      </c>
      <c r="O209" s="23">
        <v>25000</v>
      </c>
      <c r="P209" s="29" t="s">
        <v>879</v>
      </c>
      <c r="Q209" s="23" t="s">
        <v>1640</v>
      </c>
      <c r="R209" s="23"/>
      <c r="S209" s="23" t="s">
        <v>887</v>
      </c>
    </row>
    <row r="210" spans="1:19" ht="28.8" x14ac:dyDescent="0.3">
      <c r="A210" s="23" t="s">
        <v>1641</v>
      </c>
      <c r="B210" s="23" t="s">
        <v>337</v>
      </c>
      <c r="C210" s="23" t="s">
        <v>80</v>
      </c>
      <c r="D210" s="23" t="s">
        <v>1638</v>
      </c>
      <c r="E210" s="23" t="s">
        <v>340</v>
      </c>
      <c r="F210" s="23" t="s">
        <v>342</v>
      </c>
      <c r="G210" s="23" t="s">
        <v>88</v>
      </c>
      <c r="H210" s="23" t="s">
        <v>97</v>
      </c>
      <c r="I210" s="23" t="s">
        <v>96</v>
      </c>
      <c r="J210" s="23" t="s">
        <v>1081</v>
      </c>
      <c r="K210" s="23" t="s">
        <v>1642</v>
      </c>
      <c r="L210" s="23" t="s">
        <v>1085</v>
      </c>
      <c r="M210" s="23" t="s">
        <v>885</v>
      </c>
      <c r="N210" s="23" t="s">
        <v>929</v>
      </c>
      <c r="O210" s="23">
        <v>20000</v>
      </c>
      <c r="P210" s="29" t="s">
        <v>879</v>
      </c>
      <c r="Q210" s="23" t="s">
        <v>1643</v>
      </c>
      <c r="R210" s="23"/>
      <c r="S210" s="23" t="s">
        <v>881</v>
      </c>
    </row>
    <row r="211" spans="1:19" ht="28.8" x14ac:dyDescent="0.3">
      <c r="A211" s="23" t="s">
        <v>1644</v>
      </c>
      <c r="B211" s="23" t="s">
        <v>337</v>
      </c>
      <c r="C211" s="23" t="s">
        <v>80</v>
      </c>
      <c r="D211" s="23" t="s">
        <v>1638</v>
      </c>
      <c r="E211" s="23" t="s">
        <v>340</v>
      </c>
      <c r="F211" s="23" t="s">
        <v>342</v>
      </c>
      <c r="G211" s="23" t="s">
        <v>88</v>
      </c>
      <c r="H211" s="23" t="s">
        <v>97</v>
      </c>
      <c r="I211" s="23" t="s">
        <v>96</v>
      </c>
      <c r="J211" s="23" t="s">
        <v>1085</v>
      </c>
      <c r="K211" s="23" t="s">
        <v>1645</v>
      </c>
      <c r="L211" s="23" t="s">
        <v>1646</v>
      </c>
      <c r="M211" s="23" t="s">
        <v>902</v>
      </c>
      <c r="N211" s="23" t="s">
        <v>896</v>
      </c>
      <c r="O211" s="23">
        <v>25000</v>
      </c>
      <c r="P211" s="29" t="s">
        <v>879</v>
      </c>
      <c r="Q211" s="23" t="s">
        <v>1647</v>
      </c>
      <c r="R211" s="23"/>
      <c r="S211" s="23" t="s">
        <v>892</v>
      </c>
    </row>
    <row r="212" spans="1:19" ht="28.8" x14ac:dyDescent="0.3">
      <c r="A212" s="23" t="s">
        <v>1648</v>
      </c>
      <c r="B212" s="23" t="s">
        <v>337</v>
      </c>
      <c r="C212" s="23" t="s">
        <v>80</v>
      </c>
      <c r="D212" s="23" t="s">
        <v>1638</v>
      </c>
      <c r="E212" s="23" t="s">
        <v>340</v>
      </c>
      <c r="F212" s="23" t="s">
        <v>342</v>
      </c>
      <c r="G212" s="23" t="s">
        <v>88</v>
      </c>
      <c r="H212" s="23" t="s">
        <v>97</v>
      </c>
      <c r="I212" s="23" t="s">
        <v>96</v>
      </c>
      <c r="J212" s="23" t="s">
        <v>1646</v>
      </c>
      <c r="K212" s="23" t="s">
        <v>1649</v>
      </c>
      <c r="L212" s="23" t="s">
        <v>1088</v>
      </c>
      <c r="M212" s="23" t="s">
        <v>890</v>
      </c>
      <c r="N212" s="23" t="s">
        <v>896</v>
      </c>
      <c r="O212" s="23">
        <v>25000</v>
      </c>
      <c r="P212" s="29" t="s">
        <v>879</v>
      </c>
      <c r="Q212" s="23" t="s">
        <v>1650</v>
      </c>
      <c r="R212" s="23"/>
      <c r="S212" s="23" t="s">
        <v>881</v>
      </c>
    </row>
    <row r="213" spans="1:19" ht="28.8" x14ac:dyDescent="0.3">
      <c r="A213" s="23" t="s">
        <v>1651</v>
      </c>
      <c r="B213" s="23" t="s">
        <v>337</v>
      </c>
      <c r="C213" s="23" t="s">
        <v>80</v>
      </c>
      <c r="D213" s="23" t="s">
        <v>1638</v>
      </c>
      <c r="E213" s="23" t="s">
        <v>340</v>
      </c>
      <c r="F213" s="23" t="s">
        <v>342</v>
      </c>
      <c r="G213" s="23" t="s">
        <v>88</v>
      </c>
      <c r="H213" s="23" t="s">
        <v>97</v>
      </c>
      <c r="I213" s="23" t="s">
        <v>96</v>
      </c>
      <c r="J213" s="23" t="s">
        <v>1088</v>
      </c>
      <c r="K213" s="23" t="s">
        <v>1652</v>
      </c>
      <c r="L213" s="23" t="s">
        <v>1090</v>
      </c>
      <c r="M213" s="23" t="s">
        <v>885</v>
      </c>
      <c r="N213" s="23" t="s">
        <v>131</v>
      </c>
      <c r="O213" s="23">
        <v>15000</v>
      </c>
      <c r="P213" s="29" t="s">
        <v>879</v>
      </c>
      <c r="Q213" s="23" t="s">
        <v>1653</v>
      </c>
      <c r="R213" s="23"/>
      <c r="S213" s="23" t="s">
        <v>939</v>
      </c>
    </row>
    <row r="214" spans="1:19" ht="28.8" x14ac:dyDescent="0.3">
      <c r="A214" s="23" t="s">
        <v>1654</v>
      </c>
      <c r="B214" s="23" t="s">
        <v>337</v>
      </c>
      <c r="C214" s="23" t="s">
        <v>80</v>
      </c>
      <c r="D214" s="23" t="s">
        <v>1638</v>
      </c>
      <c r="E214" s="23" t="s">
        <v>340</v>
      </c>
      <c r="F214" s="23" t="s">
        <v>342</v>
      </c>
      <c r="G214" s="23" t="s">
        <v>88</v>
      </c>
      <c r="H214" s="23" t="s">
        <v>97</v>
      </c>
      <c r="I214" s="23" t="s">
        <v>96</v>
      </c>
      <c r="J214" s="23" t="s">
        <v>1090</v>
      </c>
      <c r="K214" s="23" t="s">
        <v>1655</v>
      </c>
      <c r="L214" s="23" t="s">
        <v>1094</v>
      </c>
      <c r="M214" s="23" t="s">
        <v>902</v>
      </c>
      <c r="N214" s="23" t="s">
        <v>896</v>
      </c>
      <c r="O214" s="23">
        <v>15000</v>
      </c>
      <c r="P214" s="29" t="s">
        <v>879</v>
      </c>
      <c r="Q214" s="23" t="s">
        <v>1656</v>
      </c>
      <c r="R214" s="23"/>
      <c r="S214" s="23" t="s">
        <v>939</v>
      </c>
    </row>
    <row r="215" spans="1:19" ht="28.8" x14ac:dyDescent="0.3">
      <c r="A215" s="23" t="s">
        <v>1657</v>
      </c>
      <c r="B215" s="23" t="s">
        <v>337</v>
      </c>
      <c r="C215" s="23" t="s">
        <v>80</v>
      </c>
      <c r="D215" s="23" t="s">
        <v>1638</v>
      </c>
      <c r="E215" s="23" t="s">
        <v>340</v>
      </c>
      <c r="F215" s="23" t="s">
        <v>342</v>
      </c>
      <c r="G215" s="23" t="s">
        <v>88</v>
      </c>
      <c r="H215" s="23" t="s">
        <v>97</v>
      </c>
      <c r="I215" s="23" t="s">
        <v>96</v>
      </c>
      <c r="J215" s="23" t="s">
        <v>1094</v>
      </c>
      <c r="K215" s="23" t="s">
        <v>1658</v>
      </c>
      <c r="L215" s="23" t="s">
        <v>1097</v>
      </c>
      <c r="M215" s="23" t="s">
        <v>902</v>
      </c>
      <c r="N215" s="23" t="s">
        <v>131</v>
      </c>
      <c r="O215" s="23">
        <v>20000</v>
      </c>
      <c r="P215" s="29" t="s">
        <v>879</v>
      </c>
      <c r="Q215" s="23" t="s">
        <v>1659</v>
      </c>
      <c r="R215" s="23"/>
      <c r="S215" s="23" t="s">
        <v>939</v>
      </c>
    </row>
    <row r="216" spans="1:19" ht="28.8" x14ac:dyDescent="0.3">
      <c r="A216" s="23" t="s">
        <v>1660</v>
      </c>
      <c r="B216" s="23" t="s">
        <v>337</v>
      </c>
      <c r="C216" s="23" t="s">
        <v>80</v>
      </c>
      <c r="D216" s="23" t="s">
        <v>1638</v>
      </c>
      <c r="E216" s="23" t="s">
        <v>340</v>
      </c>
      <c r="F216" s="23" t="s">
        <v>342</v>
      </c>
      <c r="G216" s="23" t="s">
        <v>88</v>
      </c>
      <c r="H216" s="23" t="s">
        <v>97</v>
      </c>
      <c r="I216" s="23" t="s">
        <v>96</v>
      </c>
      <c r="J216" s="23" t="s">
        <v>1097</v>
      </c>
      <c r="K216" s="23" t="s">
        <v>1661</v>
      </c>
      <c r="L216" s="23" t="s">
        <v>1101</v>
      </c>
      <c r="M216" s="23" t="s">
        <v>890</v>
      </c>
      <c r="N216" s="23" t="s">
        <v>131</v>
      </c>
      <c r="O216" s="23">
        <v>20000</v>
      </c>
      <c r="P216" s="29" t="s">
        <v>879</v>
      </c>
      <c r="Q216" s="23" t="s">
        <v>1662</v>
      </c>
      <c r="R216" s="23"/>
      <c r="S216" s="23" t="s">
        <v>926</v>
      </c>
    </row>
    <row r="217" spans="1:19" ht="28.8" x14ac:dyDescent="0.3">
      <c r="A217" s="23" t="s">
        <v>1663</v>
      </c>
      <c r="B217" s="23" t="s">
        <v>337</v>
      </c>
      <c r="C217" s="23" t="s">
        <v>80</v>
      </c>
      <c r="D217" s="23" t="s">
        <v>1638</v>
      </c>
      <c r="E217" s="23" t="s">
        <v>340</v>
      </c>
      <c r="F217" s="23" t="s">
        <v>342</v>
      </c>
      <c r="G217" s="23" t="s">
        <v>88</v>
      </c>
      <c r="H217" s="23" t="s">
        <v>97</v>
      </c>
      <c r="I217" s="23" t="s">
        <v>96</v>
      </c>
      <c r="J217" s="23" t="s">
        <v>1101</v>
      </c>
      <c r="K217" s="23" t="s">
        <v>1664</v>
      </c>
      <c r="L217" s="23" t="s">
        <v>1105</v>
      </c>
      <c r="M217" s="23" t="s">
        <v>890</v>
      </c>
      <c r="N217" s="23" t="s">
        <v>131</v>
      </c>
      <c r="O217" s="23">
        <v>20000</v>
      </c>
      <c r="P217" s="29" t="s">
        <v>879</v>
      </c>
      <c r="Q217" s="23" t="s">
        <v>1665</v>
      </c>
      <c r="R217" s="23"/>
      <c r="S217" s="23" t="s">
        <v>904</v>
      </c>
    </row>
    <row r="218" spans="1:19" ht="28.8" x14ac:dyDescent="0.3">
      <c r="A218" s="23" t="s">
        <v>1666</v>
      </c>
      <c r="B218" s="23" t="s">
        <v>337</v>
      </c>
      <c r="C218" s="23" t="s">
        <v>80</v>
      </c>
      <c r="D218" s="23" t="s">
        <v>1638</v>
      </c>
      <c r="E218" s="23" t="s">
        <v>340</v>
      </c>
      <c r="F218" s="23" t="s">
        <v>342</v>
      </c>
      <c r="G218" s="23" t="s">
        <v>88</v>
      </c>
      <c r="H218" s="23" t="s">
        <v>97</v>
      </c>
      <c r="I218" s="23" t="s">
        <v>96</v>
      </c>
      <c r="J218" s="23" t="s">
        <v>1105</v>
      </c>
      <c r="K218" s="23" t="s">
        <v>1105</v>
      </c>
      <c r="L218" s="23" t="s">
        <v>1108</v>
      </c>
      <c r="M218" s="23" t="s">
        <v>902</v>
      </c>
      <c r="N218" s="23" t="s">
        <v>131</v>
      </c>
      <c r="O218" s="23">
        <v>25000</v>
      </c>
      <c r="P218" s="29" t="s">
        <v>879</v>
      </c>
      <c r="Q218" s="23" t="s">
        <v>1667</v>
      </c>
      <c r="R218" s="23"/>
      <c r="S218" s="23" t="s">
        <v>898</v>
      </c>
    </row>
    <row r="219" spans="1:19" ht="28.8" x14ac:dyDescent="0.3">
      <c r="A219" s="23" t="s">
        <v>1668</v>
      </c>
      <c r="B219" s="23" t="s">
        <v>337</v>
      </c>
      <c r="C219" s="23" t="s">
        <v>80</v>
      </c>
      <c r="D219" s="23" t="s">
        <v>1638</v>
      </c>
      <c r="E219" s="23" t="s">
        <v>340</v>
      </c>
      <c r="F219" s="23" t="s">
        <v>342</v>
      </c>
      <c r="G219" s="23" t="s">
        <v>88</v>
      </c>
      <c r="H219" s="23" t="s">
        <v>97</v>
      </c>
      <c r="I219" s="23" t="s">
        <v>96</v>
      </c>
      <c r="J219" s="23" t="s">
        <v>1108</v>
      </c>
      <c r="K219" s="23" t="s">
        <v>1669</v>
      </c>
      <c r="L219" s="23" t="s">
        <v>585</v>
      </c>
      <c r="M219" s="23" t="s">
        <v>890</v>
      </c>
      <c r="N219" s="23" t="s">
        <v>111</v>
      </c>
      <c r="O219" s="23">
        <v>20000</v>
      </c>
      <c r="P219" s="29" t="s">
        <v>879</v>
      </c>
      <c r="Q219" s="23" t="s">
        <v>1670</v>
      </c>
      <c r="R219" s="23"/>
      <c r="S219" s="23" t="s">
        <v>926</v>
      </c>
    </row>
    <row r="220" spans="1:19" ht="28.8" x14ac:dyDescent="0.3">
      <c r="A220" s="23" t="s">
        <v>1671</v>
      </c>
      <c r="B220" s="23" t="s">
        <v>337</v>
      </c>
      <c r="C220" s="23" t="s">
        <v>80</v>
      </c>
      <c r="D220" s="23" t="s">
        <v>1638</v>
      </c>
      <c r="E220" s="23" t="s">
        <v>340</v>
      </c>
      <c r="F220" s="23" t="s">
        <v>342</v>
      </c>
      <c r="G220" s="23" t="s">
        <v>88</v>
      </c>
      <c r="H220" s="23" t="s">
        <v>97</v>
      </c>
      <c r="I220" s="23" t="s">
        <v>96</v>
      </c>
      <c r="J220" s="23" t="s">
        <v>585</v>
      </c>
      <c r="K220" s="23" t="s">
        <v>1114</v>
      </c>
      <c r="L220" s="23" t="s">
        <v>345</v>
      </c>
      <c r="M220" s="23" t="s">
        <v>878</v>
      </c>
      <c r="N220" s="23" t="s">
        <v>131</v>
      </c>
      <c r="O220" s="23">
        <v>20000</v>
      </c>
      <c r="P220" s="29" t="s">
        <v>879</v>
      </c>
      <c r="Q220" s="23" t="s">
        <v>1672</v>
      </c>
      <c r="R220" s="23"/>
      <c r="S220" s="23" t="s">
        <v>939</v>
      </c>
    </row>
    <row r="221" spans="1:19" ht="28.8" x14ac:dyDescent="0.3">
      <c r="A221" s="23" t="s">
        <v>1673</v>
      </c>
      <c r="B221" s="23" t="s">
        <v>337</v>
      </c>
      <c r="C221" s="23" t="s">
        <v>80</v>
      </c>
      <c r="D221" s="23" t="s">
        <v>1638</v>
      </c>
      <c r="E221" s="23" t="s">
        <v>340</v>
      </c>
      <c r="F221" s="23" t="s">
        <v>342</v>
      </c>
      <c r="G221" s="23" t="s">
        <v>88</v>
      </c>
      <c r="H221" s="23" t="s">
        <v>97</v>
      </c>
      <c r="I221" s="23" t="s">
        <v>96</v>
      </c>
      <c r="J221" s="23" t="s">
        <v>345</v>
      </c>
      <c r="K221" s="23" t="s">
        <v>345</v>
      </c>
      <c r="L221" s="23" t="s">
        <v>141</v>
      </c>
      <c r="M221" s="23" t="s">
        <v>878</v>
      </c>
      <c r="N221" s="23" t="s">
        <v>929</v>
      </c>
      <c r="O221" s="23">
        <v>30000</v>
      </c>
      <c r="P221" s="29" t="s">
        <v>879</v>
      </c>
      <c r="Q221" s="23" t="s">
        <v>1674</v>
      </c>
      <c r="R221" s="23"/>
      <c r="S221" s="23" t="s">
        <v>892</v>
      </c>
    </row>
    <row r="222" spans="1:19" ht="28.8" x14ac:dyDescent="0.3">
      <c r="A222" s="23" t="s">
        <v>1675</v>
      </c>
      <c r="B222" s="23" t="s">
        <v>337</v>
      </c>
      <c r="C222" s="23" t="s">
        <v>80</v>
      </c>
      <c r="D222" s="23" t="s">
        <v>1638</v>
      </c>
      <c r="E222" s="23" t="s">
        <v>340</v>
      </c>
      <c r="F222" s="23" t="s">
        <v>342</v>
      </c>
      <c r="G222" s="23" t="s">
        <v>88</v>
      </c>
      <c r="H222" s="23" t="s">
        <v>97</v>
      </c>
      <c r="I222" s="23" t="s">
        <v>96</v>
      </c>
      <c r="J222" s="23" t="s">
        <v>141</v>
      </c>
      <c r="K222" s="23"/>
      <c r="L222" s="23" t="s">
        <v>1119</v>
      </c>
      <c r="M222" s="23" t="s">
        <v>902</v>
      </c>
      <c r="N222" s="23" t="s">
        <v>920</v>
      </c>
      <c r="O222" s="23">
        <v>0</v>
      </c>
      <c r="P222" s="30" t="s">
        <v>948</v>
      </c>
      <c r="Q222" s="23" t="s">
        <v>1676</v>
      </c>
      <c r="R222" s="23"/>
      <c r="S222" s="23"/>
    </row>
    <row r="223" spans="1:19" ht="28.8" x14ac:dyDescent="0.3">
      <c r="A223" s="23" t="s">
        <v>1677</v>
      </c>
      <c r="B223" s="23" t="s">
        <v>351</v>
      </c>
      <c r="C223" s="23" t="s">
        <v>80</v>
      </c>
      <c r="D223" s="23" t="s">
        <v>784</v>
      </c>
      <c r="E223" s="23" t="s">
        <v>354</v>
      </c>
      <c r="F223" s="23" t="s">
        <v>356</v>
      </c>
      <c r="G223" s="23" t="s">
        <v>175</v>
      </c>
      <c r="H223" s="23" t="s">
        <v>97</v>
      </c>
      <c r="I223" s="23" t="s">
        <v>96</v>
      </c>
      <c r="J223" s="23" t="s">
        <v>1678</v>
      </c>
      <c r="K223" s="23" t="s">
        <v>1679</v>
      </c>
      <c r="L223" s="23" t="s">
        <v>1680</v>
      </c>
      <c r="M223" s="23" t="s">
        <v>890</v>
      </c>
      <c r="N223" s="23" t="s">
        <v>219</v>
      </c>
      <c r="O223" s="23">
        <v>25000</v>
      </c>
      <c r="P223" s="29" t="s">
        <v>879</v>
      </c>
      <c r="Q223" s="23" t="s">
        <v>1681</v>
      </c>
      <c r="R223" s="23"/>
      <c r="S223" s="23" t="s">
        <v>931</v>
      </c>
    </row>
    <row r="224" spans="1:19" ht="28.8" x14ac:dyDescent="0.3">
      <c r="A224" s="23" t="s">
        <v>1682</v>
      </c>
      <c r="B224" s="23" t="s">
        <v>351</v>
      </c>
      <c r="C224" s="23" t="s">
        <v>80</v>
      </c>
      <c r="D224" s="23" t="s">
        <v>784</v>
      </c>
      <c r="E224" s="23" t="s">
        <v>354</v>
      </c>
      <c r="F224" s="23" t="s">
        <v>356</v>
      </c>
      <c r="G224" s="23" t="s">
        <v>175</v>
      </c>
      <c r="H224" s="23" t="s">
        <v>97</v>
      </c>
      <c r="I224" s="23" t="s">
        <v>96</v>
      </c>
      <c r="J224" s="23" t="s">
        <v>1680</v>
      </c>
      <c r="K224" s="23" t="s">
        <v>1680</v>
      </c>
      <c r="L224" s="23" t="s">
        <v>1683</v>
      </c>
      <c r="M224" s="23" t="s">
        <v>902</v>
      </c>
      <c r="N224" s="23" t="s">
        <v>168</v>
      </c>
      <c r="O224" s="23">
        <v>25000</v>
      </c>
      <c r="P224" s="29" t="s">
        <v>879</v>
      </c>
      <c r="Q224" s="23" t="s">
        <v>1684</v>
      </c>
      <c r="R224" s="23"/>
      <c r="S224" s="23" t="s">
        <v>881</v>
      </c>
    </row>
    <row r="225" spans="1:19" ht="28.8" x14ac:dyDescent="0.3">
      <c r="A225" s="23" t="s">
        <v>1685</v>
      </c>
      <c r="B225" s="23" t="s">
        <v>351</v>
      </c>
      <c r="C225" s="23" t="s">
        <v>80</v>
      </c>
      <c r="D225" s="23" t="s">
        <v>784</v>
      </c>
      <c r="E225" s="23" t="s">
        <v>354</v>
      </c>
      <c r="F225" s="23" t="s">
        <v>356</v>
      </c>
      <c r="G225" s="23" t="s">
        <v>175</v>
      </c>
      <c r="H225" s="23" t="s">
        <v>97</v>
      </c>
      <c r="I225" s="23" t="s">
        <v>96</v>
      </c>
      <c r="J225" s="23" t="s">
        <v>1683</v>
      </c>
      <c r="K225" s="23" t="s">
        <v>1686</v>
      </c>
      <c r="L225" s="23" t="s">
        <v>613</v>
      </c>
      <c r="M225" s="23" t="s">
        <v>902</v>
      </c>
      <c r="N225" s="23" t="s">
        <v>168</v>
      </c>
      <c r="O225" s="23">
        <v>25000</v>
      </c>
      <c r="P225" s="29" t="s">
        <v>879</v>
      </c>
      <c r="Q225" s="23" t="s">
        <v>1687</v>
      </c>
      <c r="R225" s="23"/>
      <c r="S225" s="23" t="s">
        <v>887</v>
      </c>
    </row>
    <row r="226" spans="1:19" ht="28.8" x14ac:dyDescent="0.3">
      <c r="A226" s="23" t="s">
        <v>1688</v>
      </c>
      <c r="B226" s="23" t="s">
        <v>351</v>
      </c>
      <c r="C226" s="23" t="s">
        <v>80</v>
      </c>
      <c r="D226" s="23" t="s">
        <v>784</v>
      </c>
      <c r="E226" s="23" t="s">
        <v>354</v>
      </c>
      <c r="F226" s="23" t="s">
        <v>356</v>
      </c>
      <c r="G226" s="23" t="s">
        <v>175</v>
      </c>
      <c r="H226" s="23" t="s">
        <v>97</v>
      </c>
      <c r="I226" s="23" t="s">
        <v>96</v>
      </c>
      <c r="J226" s="23" t="s">
        <v>613</v>
      </c>
      <c r="K226" s="23" t="s">
        <v>1689</v>
      </c>
      <c r="L226" s="23" t="s">
        <v>1690</v>
      </c>
      <c r="M226" s="23" t="s">
        <v>878</v>
      </c>
      <c r="N226" s="23" t="s">
        <v>219</v>
      </c>
      <c r="O226" s="23">
        <v>20000</v>
      </c>
      <c r="P226" s="29" t="s">
        <v>879</v>
      </c>
      <c r="Q226" s="23" t="s">
        <v>1691</v>
      </c>
      <c r="R226" s="23"/>
      <c r="S226" s="23" t="s">
        <v>939</v>
      </c>
    </row>
    <row r="227" spans="1:19" ht="28.8" x14ac:dyDescent="0.3">
      <c r="A227" s="23" t="s">
        <v>1692</v>
      </c>
      <c r="B227" s="23" t="s">
        <v>351</v>
      </c>
      <c r="C227" s="23" t="s">
        <v>80</v>
      </c>
      <c r="D227" s="23" t="s">
        <v>784</v>
      </c>
      <c r="E227" s="23" t="s">
        <v>354</v>
      </c>
      <c r="F227" s="23" t="s">
        <v>356</v>
      </c>
      <c r="G227" s="23" t="s">
        <v>175</v>
      </c>
      <c r="H227" s="23" t="s">
        <v>97</v>
      </c>
      <c r="I227" s="23" t="s">
        <v>96</v>
      </c>
      <c r="J227" s="23" t="s">
        <v>1690</v>
      </c>
      <c r="K227" s="23" t="s">
        <v>359</v>
      </c>
      <c r="L227" s="23" t="s">
        <v>360</v>
      </c>
      <c r="M227" s="23" t="s">
        <v>902</v>
      </c>
      <c r="N227" s="23" t="s">
        <v>219</v>
      </c>
      <c r="O227" s="23">
        <v>30000</v>
      </c>
      <c r="P227" s="29" t="s">
        <v>879</v>
      </c>
      <c r="Q227" s="23" t="s">
        <v>1693</v>
      </c>
      <c r="R227" s="23"/>
      <c r="S227" s="23" t="s">
        <v>887</v>
      </c>
    </row>
    <row r="228" spans="1:19" ht="28.8" x14ac:dyDescent="0.3">
      <c r="A228" s="23" t="s">
        <v>1694</v>
      </c>
      <c r="B228" s="23" t="s">
        <v>351</v>
      </c>
      <c r="C228" s="23" t="s">
        <v>80</v>
      </c>
      <c r="D228" s="23" t="s">
        <v>784</v>
      </c>
      <c r="E228" s="23" t="s">
        <v>354</v>
      </c>
      <c r="F228" s="23" t="s">
        <v>356</v>
      </c>
      <c r="G228" s="23" t="s">
        <v>175</v>
      </c>
      <c r="H228" s="23" t="s">
        <v>97</v>
      </c>
      <c r="I228" s="23" t="s">
        <v>96</v>
      </c>
      <c r="J228" s="23" t="s">
        <v>360</v>
      </c>
      <c r="K228" s="23"/>
      <c r="L228" s="23" t="s">
        <v>1695</v>
      </c>
      <c r="M228" s="23" t="s">
        <v>902</v>
      </c>
      <c r="N228" s="23" t="s">
        <v>131</v>
      </c>
      <c r="O228" s="23">
        <v>0</v>
      </c>
      <c r="P228" s="30" t="s">
        <v>948</v>
      </c>
      <c r="Q228" s="23" t="s">
        <v>1696</v>
      </c>
      <c r="R228" s="23"/>
      <c r="S228" s="23"/>
    </row>
    <row r="229" spans="1:19" ht="28.8" x14ac:dyDescent="0.3">
      <c r="A229" s="23" t="s">
        <v>1697</v>
      </c>
      <c r="B229" s="23" t="s">
        <v>366</v>
      </c>
      <c r="C229" s="23" t="s">
        <v>80</v>
      </c>
      <c r="D229" s="23" t="s">
        <v>1698</v>
      </c>
      <c r="E229" s="23" t="s">
        <v>368</v>
      </c>
      <c r="F229" s="23" t="s">
        <v>370</v>
      </c>
      <c r="G229" s="23" t="s">
        <v>88</v>
      </c>
      <c r="H229" s="23" t="s">
        <v>97</v>
      </c>
      <c r="I229" s="23" t="s">
        <v>96</v>
      </c>
      <c r="J229" s="23" t="s">
        <v>1699</v>
      </c>
      <c r="K229" s="23" t="s">
        <v>1700</v>
      </c>
      <c r="L229" s="23" t="s">
        <v>1701</v>
      </c>
      <c r="M229" s="23" t="s">
        <v>885</v>
      </c>
      <c r="N229" s="23" t="s">
        <v>219</v>
      </c>
      <c r="O229" s="23">
        <v>25000</v>
      </c>
      <c r="P229" s="29" t="s">
        <v>879</v>
      </c>
      <c r="Q229" s="23" t="s">
        <v>1702</v>
      </c>
      <c r="R229" s="23"/>
      <c r="S229" s="23" t="s">
        <v>881</v>
      </c>
    </row>
    <row r="230" spans="1:19" ht="28.8" x14ac:dyDescent="0.3">
      <c r="A230" s="23" t="s">
        <v>1703</v>
      </c>
      <c r="B230" s="23" t="s">
        <v>366</v>
      </c>
      <c r="C230" s="23" t="s">
        <v>80</v>
      </c>
      <c r="D230" s="23" t="s">
        <v>1698</v>
      </c>
      <c r="E230" s="23" t="s">
        <v>368</v>
      </c>
      <c r="F230" s="23" t="s">
        <v>370</v>
      </c>
      <c r="G230" s="23" t="s">
        <v>88</v>
      </c>
      <c r="H230" s="23" t="s">
        <v>97</v>
      </c>
      <c r="I230" s="23" t="s">
        <v>96</v>
      </c>
      <c r="J230" s="23" t="s">
        <v>1701</v>
      </c>
      <c r="K230" s="23" t="s">
        <v>1704</v>
      </c>
      <c r="L230" s="23" t="s">
        <v>1705</v>
      </c>
      <c r="M230" s="23" t="s">
        <v>885</v>
      </c>
      <c r="N230" s="23" t="s">
        <v>168</v>
      </c>
      <c r="O230" s="23">
        <v>25000</v>
      </c>
      <c r="P230" s="29" t="s">
        <v>879</v>
      </c>
      <c r="Q230" s="23" t="s">
        <v>1706</v>
      </c>
      <c r="R230" s="23"/>
      <c r="S230" s="23" t="s">
        <v>926</v>
      </c>
    </row>
    <row r="231" spans="1:19" ht="28.8" x14ac:dyDescent="0.3">
      <c r="A231" s="23" t="s">
        <v>1707</v>
      </c>
      <c r="B231" s="23" t="s">
        <v>366</v>
      </c>
      <c r="C231" s="23" t="s">
        <v>80</v>
      </c>
      <c r="D231" s="23" t="s">
        <v>1698</v>
      </c>
      <c r="E231" s="23" t="s">
        <v>368</v>
      </c>
      <c r="F231" s="23" t="s">
        <v>370</v>
      </c>
      <c r="G231" s="23" t="s">
        <v>88</v>
      </c>
      <c r="H231" s="23" t="s">
        <v>97</v>
      </c>
      <c r="I231" s="23" t="s">
        <v>96</v>
      </c>
      <c r="J231" s="23" t="s">
        <v>1705</v>
      </c>
      <c r="K231" s="23" t="s">
        <v>1708</v>
      </c>
      <c r="L231" s="23" t="s">
        <v>1709</v>
      </c>
      <c r="M231" s="23" t="s">
        <v>878</v>
      </c>
      <c r="N231" s="23" t="s">
        <v>219</v>
      </c>
      <c r="O231" s="23">
        <v>15000</v>
      </c>
      <c r="P231" s="29" t="s">
        <v>879</v>
      </c>
      <c r="Q231" s="23" t="s">
        <v>1710</v>
      </c>
      <c r="R231" s="23"/>
      <c r="S231" s="23" t="s">
        <v>939</v>
      </c>
    </row>
    <row r="232" spans="1:19" ht="28.8" x14ac:dyDescent="0.3">
      <c r="A232" s="23" t="s">
        <v>1711</v>
      </c>
      <c r="B232" s="23" t="s">
        <v>366</v>
      </c>
      <c r="C232" s="23" t="s">
        <v>80</v>
      </c>
      <c r="D232" s="23" t="s">
        <v>1698</v>
      </c>
      <c r="E232" s="23" t="s">
        <v>368</v>
      </c>
      <c r="F232" s="23" t="s">
        <v>370</v>
      </c>
      <c r="G232" s="23" t="s">
        <v>88</v>
      </c>
      <c r="H232" s="23" t="s">
        <v>97</v>
      </c>
      <c r="I232" s="23" t="s">
        <v>96</v>
      </c>
      <c r="J232" s="23" t="s">
        <v>1709</v>
      </c>
      <c r="K232" s="23" t="s">
        <v>1712</v>
      </c>
      <c r="L232" s="23" t="s">
        <v>1713</v>
      </c>
      <c r="M232" s="23" t="s">
        <v>902</v>
      </c>
      <c r="N232" s="23" t="s">
        <v>219</v>
      </c>
      <c r="O232" s="23">
        <v>20000</v>
      </c>
      <c r="P232" s="29" t="s">
        <v>879</v>
      </c>
      <c r="Q232" s="23" t="s">
        <v>1714</v>
      </c>
      <c r="R232" s="23"/>
      <c r="S232" s="23" t="s">
        <v>904</v>
      </c>
    </row>
    <row r="233" spans="1:19" ht="28.8" x14ac:dyDescent="0.3">
      <c r="A233" s="23" t="s">
        <v>1715</v>
      </c>
      <c r="B233" s="23" t="s">
        <v>366</v>
      </c>
      <c r="C233" s="23" t="s">
        <v>80</v>
      </c>
      <c r="D233" s="23" t="s">
        <v>1698</v>
      </c>
      <c r="E233" s="23" t="s">
        <v>368</v>
      </c>
      <c r="F233" s="23" t="s">
        <v>370</v>
      </c>
      <c r="G233" s="23" t="s">
        <v>88</v>
      </c>
      <c r="H233" s="23" t="s">
        <v>97</v>
      </c>
      <c r="I233" s="23" t="s">
        <v>96</v>
      </c>
      <c r="J233" s="23" t="s">
        <v>1713</v>
      </c>
      <c r="K233" s="23" t="s">
        <v>1713</v>
      </c>
      <c r="L233" s="23" t="s">
        <v>554</v>
      </c>
      <c r="M233" s="23" t="s">
        <v>878</v>
      </c>
      <c r="N233" s="23" t="s">
        <v>111</v>
      </c>
      <c r="O233" s="23">
        <v>20000</v>
      </c>
      <c r="P233" s="29" t="s">
        <v>879</v>
      </c>
      <c r="Q233" s="23" t="s">
        <v>1716</v>
      </c>
      <c r="R233" s="23"/>
      <c r="S233" s="23" t="s">
        <v>931</v>
      </c>
    </row>
    <row r="234" spans="1:19" ht="28.8" x14ac:dyDescent="0.3">
      <c r="A234" s="23" t="s">
        <v>1717</v>
      </c>
      <c r="B234" s="23" t="s">
        <v>366</v>
      </c>
      <c r="C234" s="23" t="s">
        <v>80</v>
      </c>
      <c r="D234" s="23" t="s">
        <v>1698</v>
      </c>
      <c r="E234" s="23" t="s">
        <v>368</v>
      </c>
      <c r="F234" s="23" t="s">
        <v>370</v>
      </c>
      <c r="G234" s="23" t="s">
        <v>88</v>
      </c>
      <c r="H234" s="23" t="s">
        <v>97</v>
      </c>
      <c r="I234" s="23" t="s">
        <v>96</v>
      </c>
      <c r="J234" s="23" t="s">
        <v>554</v>
      </c>
      <c r="K234" s="23" t="s">
        <v>1718</v>
      </c>
      <c r="L234" s="23" t="s">
        <v>1719</v>
      </c>
      <c r="M234" s="23" t="s">
        <v>878</v>
      </c>
      <c r="N234" s="23" t="s">
        <v>131</v>
      </c>
      <c r="O234" s="23">
        <v>30000</v>
      </c>
      <c r="P234" s="29" t="s">
        <v>879</v>
      </c>
      <c r="Q234" s="23" t="s">
        <v>1720</v>
      </c>
      <c r="R234" s="23"/>
      <c r="S234" s="23" t="s">
        <v>898</v>
      </c>
    </row>
    <row r="235" spans="1:19" ht="28.8" x14ac:dyDescent="0.3">
      <c r="A235" s="23" t="s">
        <v>1721</v>
      </c>
      <c r="B235" s="23" t="s">
        <v>366</v>
      </c>
      <c r="C235" s="23" t="s">
        <v>80</v>
      </c>
      <c r="D235" s="23" t="s">
        <v>1698</v>
      </c>
      <c r="E235" s="23" t="s">
        <v>368</v>
      </c>
      <c r="F235" s="23" t="s">
        <v>370</v>
      </c>
      <c r="G235" s="23" t="s">
        <v>88</v>
      </c>
      <c r="H235" s="23" t="s">
        <v>97</v>
      </c>
      <c r="I235" s="23" t="s">
        <v>96</v>
      </c>
      <c r="J235" s="23" t="s">
        <v>1719</v>
      </c>
      <c r="K235" s="23" t="s">
        <v>1722</v>
      </c>
      <c r="L235" s="23" t="s">
        <v>1723</v>
      </c>
      <c r="M235" s="23" t="s">
        <v>878</v>
      </c>
      <c r="N235" s="23" t="s">
        <v>131</v>
      </c>
      <c r="O235" s="23">
        <v>20000</v>
      </c>
      <c r="P235" s="29" t="s">
        <v>879</v>
      </c>
      <c r="Q235" s="23" t="s">
        <v>1724</v>
      </c>
      <c r="R235" s="23"/>
      <c r="S235" s="23" t="s">
        <v>904</v>
      </c>
    </row>
    <row r="236" spans="1:19" ht="28.8" x14ac:dyDescent="0.3">
      <c r="A236" s="23" t="s">
        <v>1725</v>
      </c>
      <c r="B236" s="23" t="s">
        <v>366</v>
      </c>
      <c r="C236" s="23" t="s">
        <v>80</v>
      </c>
      <c r="D236" s="23" t="s">
        <v>1698</v>
      </c>
      <c r="E236" s="23" t="s">
        <v>368</v>
      </c>
      <c r="F236" s="23" t="s">
        <v>370</v>
      </c>
      <c r="G236" s="23" t="s">
        <v>88</v>
      </c>
      <c r="H236" s="23" t="s">
        <v>97</v>
      </c>
      <c r="I236" s="23" t="s">
        <v>96</v>
      </c>
      <c r="J236" s="23" t="s">
        <v>1723</v>
      </c>
      <c r="K236" s="23" t="s">
        <v>1726</v>
      </c>
      <c r="L236" s="23" t="s">
        <v>1727</v>
      </c>
      <c r="M236" s="23" t="s">
        <v>878</v>
      </c>
      <c r="N236" s="23" t="s">
        <v>920</v>
      </c>
      <c r="O236" s="23">
        <v>30000</v>
      </c>
      <c r="P236" s="29" t="s">
        <v>879</v>
      </c>
      <c r="Q236" s="23" t="s">
        <v>1728</v>
      </c>
      <c r="R236" s="23"/>
      <c r="S236" s="23" t="s">
        <v>904</v>
      </c>
    </row>
    <row r="237" spans="1:19" ht="28.8" x14ac:dyDescent="0.3">
      <c r="A237" s="23" t="s">
        <v>1729</v>
      </c>
      <c r="B237" s="23" t="s">
        <v>366</v>
      </c>
      <c r="C237" s="23" t="s">
        <v>80</v>
      </c>
      <c r="D237" s="23" t="s">
        <v>1698</v>
      </c>
      <c r="E237" s="23" t="s">
        <v>368</v>
      </c>
      <c r="F237" s="23" t="s">
        <v>370</v>
      </c>
      <c r="G237" s="23" t="s">
        <v>88</v>
      </c>
      <c r="H237" s="23" t="s">
        <v>97</v>
      </c>
      <c r="I237" s="23" t="s">
        <v>96</v>
      </c>
      <c r="J237" s="23" t="s">
        <v>1727</v>
      </c>
      <c r="K237" s="23" t="s">
        <v>1730</v>
      </c>
      <c r="L237" s="23" t="s">
        <v>1731</v>
      </c>
      <c r="M237" s="23" t="s">
        <v>902</v>
      </c>
      <c r="N237" s="23" t="s">
        <v>168</v>
      </c>
      <c r="O237" s="23">
        <v>30000</v>
      </c>
      <c r="P237" s="29" t="s">
        <v>879</v>
      </c>
      <c r="Q237" s="23" t="s">
        <v>1732</v>
      </c>
      <c r="R237" s="23"/>
      <c r="S237" s="23" t="s">
        <v>926</v>
      </c>
    </row>
    <row r="238" spans="1:19" ht="28.8" x14ac:dyDescent="0.3">
      <c r="A238" s="23" t="s">
        <v>1733</v>
      </c>
      <c r="B238" s="23" t="s">
        <v>366</v>
      </c>
      <c r="C238" s="23" t="s">
        <v>80</v>
      </c>
      <c r="D238" s="23" t="s">
        <v>1698</v>
      </c>
      <c r="E238" s="23" t="s">
        <v>368</v>
      </c>
      <c r="F238" s="23" t="s">
        <v>370</v>
      </c>
      <c r="G238" s="23" t="s">
        <v>88</v>
      </c>
      <c r="H238" s="23" t="s">
        <v>97</v>
      </c>
      <c r="I238" s="23" t="s">
        <v>96</v>
      </c>
      <c r="J238" s="23" t="s">
        <v>1731</v>
      </c>
      <c r="K238" s="23" t="s">
        <v>1731</v>
      </c>
      <c r="L238" s="23" t="s">
        <v>1734</v>
      </c>
      <c r="M238" s="23" t="s">
        <v>885</v>
      </c>
      <c r="N238" s="23" t="s">
        <v>920</v>
      </c>
      <c r="O238" s="23">
        <v>20000</v>
      </c>
      <c r="P238" s="29" t="s">
        <v>879</v>
      </c>
      <c r="Q238" s="23" t="s">
        <v>1735</v>
      </c>
      <c r="R238" s="23"/>
      <c r="S238" s="23" t="s">
        <v>881</v>
      </c>
    </row>
    <row r="239" spans="1:19" ht="28.8" x14ac:dyDescent="0.3">
      <c r="A239" s="23" t="s">
        <v>1736</v>
      </c>
      <c r="B239" s="23" t="s">
        <v>366</v>
      </c>
      <c r="C239" s="23" t="s">
        <v>80</v>
      </c>
      <c r="D239" s="23" t="s">
        <v>1698</v>
      </c>
      <c r="E239" s="23" t="s">
        <v>368</v>
      </c>
      <c r="F239" s="23" t="s">
        <v>370</v>
      </c>
      <c r="G239" s="23" t="s">
        <v>88</v>
      </c>
      <c r="H239" s="23" t="s">
        <v>97</v>
      </c>
      <c r="I239" s="23" t="s">
        <v>96</v>
      </c>
      <c r="J239" s="23" t="s">
        <v>1734</v>
      </c>
      <c r="K239" s="23" t="s">
        <v>1734</v>
      </c>
      <c r="L239" s="23" t="s">
        <v>1310</v>
      </c>
      <c r="M239" s="23" t="s">
        <v>890</v>
      </c>
      <c r="N239" s="23" t="s">
        <v>929</v>
      </c>
      <c r="O239" s="23">
        <v>30000</v>
      </c>
      <c r="P239" s="29" t="s">
        <v>879</v>
      </c>
      <c r="Q239" s="23" t="s">
        <v>1737</v>
      </c>
      <c r="R239" s="23"/>
      <c r="S239" s="23" t="s">
        <v>939</v>
      </c>
    </row>
    <row r="240" spans="1:19" ht="28.8" x14ac:dyDescent="0.3">
      <c r="A240" s="23" t="s">
        <v>1738</v>
      </c>
      <c r="B240" s="23" t="s">
        <v>366</v>
      </c>
      <c r="C240" s="23" t="s">
        <v>80</v>
      </c>
      <c r="D240" s="23" t="s">
        <v>1698</v>
      </c>
      <c r="E240" s="23" t="s">
        <v>368</v>
      </c>
      <c r="F240" s="23" t="s">
        <v>370</v>
      </c>
      <c r="G240" s="23" t="s">
        <v>88</v>
      </c>
      <c r="H240" s="23" t="s">
        <v>97</v>
      </c>
      <c r="I240" s="23" t="s">
        <v>96</v>
      </c>
      <c r="J240" s="23" t="s">
        <v>1310</v>
      </c>
      <c r="K240" s="23" t="s">
        <v>451</v>
      </c>
      <c r="L240" s="23" t="s">
        <v>1314</v>
      </c>
      <c r="M240" s="23" t="s">
        <v>890</v>
      </c>
      <c r="N240" s="23" t="s">
        <v>219</v>
      </c>
      <c r="O240" s="23">
        <v>20000</v>
      </c>
      <c r="P240" s="29" t="s">
        <v>879</v>
      </c>
      <c r="Q240" s="23" t="s">
        <v>1739</v>
      </c>
      <c r="R240" s="23"/>
      <c r="S240" s="23" t="s">
        <v>939</v>
      </c>
    </row>
    <row r="241" spans="1:19" ht="28.8" x14ac:dyDescent="0.3">
      <c r="A241" s="23" t="s">
        <v>1740</v>
      </c>
      <c r="B241" s="23" t="s">
        <v>366</v>
      </c>
      <c r="C241" s="23" t="s">
        <v>80</v>
      </c>
      <c r="D241" s="23" t="s">
        <v>1698</v>
      </c>
      <c r="E241" s="23" t="s">
        <v>368</v>
      </c>
      <c r="F241" s="23" t="s">
        <v>370</v>
      </c>
      <c r="G241" s="23" t="s">
        <v>88</v>
      </c>
      <c r="H241" s="23" t="s">
        <v>97</v>
      </c>
      <c r="I241" s="23" t="s">
        <v>96</v>
      </c>
      <c r="J241" s="23" t="s">
        <v>1741</v>
      </c>
      <c r="K241" s="23" t="s">
        <v>1592</v>
      </c>
      <c r="L241" s="23" t="s">
        <v>1742</v>
      </c>
      <c r="M241" s="23" t="s">
        <v>878</v>
      </c>
      <c r="N241" s="23" t="s">
        <v>219</v>
      </c>
      <c r="O241" s="23">
        <v>25000</v>
      </c>
      <c r="P241" s="29" t="s">
        <v>879</v>
      </c>
      <c r="Q241" s="23" t="s">
        <v>1743</v>
      </c>
      <c r="R241" s="23"/>
      <c r="S241" s="23" t="s">
        <v>887</v>
      </c>
    </row>
    <row r="242" spans="1:19" ht="28.8" x14ac:dyDescent="0.3">
      <c r="A242" s="23" t="s">
        <v>1744</v>
      </c>
      <c r="B242" s="23" t="s">
        <v>366</v>
      </c>
      <c r="C242" s="23" t="s">
        <v>80</v>
      </c>
      <c r="D242" s="23" t="s">
        <v>1698</v>
      </c>
      <c r="E242" s="23" t="s">
        <v>368</v>
      </c>
      <c r="F242" s="23" t="s">
        <v>370</v>
      </c>
      <c r="G242" s="23" t="s">
        <v>88</v>
      </c>
      <c r="H242" s="23" t="s">
        <v>97</v>
      </c>
      <c r="I242" s="23" t="s">
        <v>96</v>
      </c>
      <c r="J242" s="23" t="s">
        <v>1742</v>
      </c>
      <c r="K242" s="23" t="s">
        <v>1596</v>
      </c>
      <c r="L242" s="23" t="s">
        <v>1602</v>
      </c>
      <c r="M242" s="23" t="s">
        <v>890</v>
      </c>
      <c r="N242" s="23" t="s">
        <v>219</v>
      </c>
      <c r="O242" s="23">
        <v>25000</v>
      </c>
      <c r="P242" s="29" t="s">
        <v>879</v>
      </c>
      <c r="Q242" s="23" t="s">
        <v>1745</v>
      </c>
      <c r="R242" s="23"/>
      <c r="S242" s="23" t="s">
        <v>939</v>
      </c>
    </row>
    <row r="243" spans="1:19" ht="28.8" x14ac:dyDescent="0.3">
      <c r="A243" s="23" t="s">
        <v>1746</v>
      </c>
      <c r="B243" s="23" t="s">
        <v>366</v>
      </c>
      <c r="C243" s="23" t="s">
        <v>80</v>
      </c>
      <c r="D243" s="23" t="s">
        <v>1698</v>
      </c>
      <c r="E243" s="23" t="s">
        <v>368</v>
      </c>
      <c r="F243" s="23" t="s">
        <v>370</v>
      </c>
      <c r="G243" s="23" t="s">
        <v>88</v>
      </c>
      <c r="H243" s="23" t="s">
        <v>97</v>
      </c>
      <c r="I243" s="23" t="s">
        <v>96</v>
      </c>
      <c r="J243" s="23" t="s">
        <v>1602</v>
      </c>
      <c r="K243" s="23" t="s">
        <v>1322</v>
      </c>
      <c r="L243" s="23" t="s">
        <v>235</v>
      </c>
      <c r="M243" s="23" t="s">
        <v>878</v>
      </c>
      <c r="N243" s="23" t="s">
        <v>920</v>
      </c>
      <c r="O243" s="23">
        <v>25000</v>
      </c>
      <c r="P243" s="29" t="s">
        <v>879</v>
      </c>
      <c r="Q243" s="23" t="s">
        <v>1747</v>
      </c>
      <c r="R243" s="23"/>
      <c r="S243" s="23" t="s">
        <v>931</v>
      </c>
    </row>
    <row r="244" spans="1:19" ht="28.8" x14ac:dyDescent="0.3">
      <c r="A244" s="23" t="s">
        <v>1748</v>
      </c>
      <c r="B244" s="23" t="s">
        <v>366</v>
      </c>
      <c r="C244" s="23" t="s">
        <v>80</v>
      </c>
      <c r="D244" s="23" t="s">
        <v>1698</v>
      </c>
      <c r="E244" s="23" t="s">
        <v>368</v>
      </c>
      <c r="F244" s="23" t="s">
        <v>370</v>
      </c>
      <c r="G244" s="23" t="s">
        <v>88</v>
      </c>
      <c r="H244" s="23" t="s">
        <v>97</v>
      </c>
      <c r="I244" s="23" t="s">
        <v>96</v>
      </c>
      <c r="J244" s="23" t="s">
        <v>235</v>
      </c>
      <c r="K244" s="23" t="s">
        <v>373</v>
      </c>
      <c r="L244" s="23" t="s">
        <v>374</v>
      </c>
      <c r="M244" s="23" t="s">
        <v>890</v>
      </c>
      <c r="N244" s="23" t="s">
        <v>920</v>
      </c>
      <c r="O244" s="23">
        <v>25000</v>
      </c>
      <c r="P244" s="29" t="s">
        <v>879</v>
      </c>
      <c r="Q244" s="23" t="s">
        <v>1749</v>
      </c>
      <c r="R244" s="23"/>
      <c r="S244" s="23" t="s">
        <v>881</v>
      </c>
    </row>
    <row r="245" spans="1:19" ht="28.8" x14ac:dyDescent="0.3">
      <c r="A245" s="23" t="s">
        <v>1750</v>
      </c>
      <c r="B245" s="23" t="s">
        <v>366</v>
      </c>
      <c r="C245" s="23" t="s">
        <v>80</v>
      </c>
      <c r="D245" s="23" t="s">
        <v>1698</v>
      </c>
      <c r="E245" s="23" t="s">
        <v>368</v>
      </c>
      <c r="F245" s="23" t="s">
        <v>370</v>
      </c>
      <c r="G245" s="23" t="s">
        <v>88</v>
      </c>
      <c r="H245" s="23" t="s">
        <v>97</v>
      </c>
      <c r="I245" s="23" t="s">
        <v>96</v>
      </c>
      <c r="J245" s="23" t="s">
        <v>374</v>
      </c>
      <c r="K245" s="23"/>
      <c r="L245" s="23" t="s">
        <v>1751</v>
      </c>
      <c r="M245" s="23" t="s">
        <v>885</v>
      </c>
      <c r="N245" s="23" t="s">
        <v>131</v>
      </c>
      <c r="O245" s="23">
        <v>0</v>
      </c>
      <c r="P245" s="30" t="s">
        <v>948</v>
      </c>
      <c r="Q245" s="23" t="s">
        <v>1752</v>
      </c>
      <c r="R245" s="23"/>
      <c r="S245" s="23" t="s">
        <v>1396</v>
      </c>
    </row>
    <row r="246" spans="1:19" ht="43.2" x14ac:dyDescent="0.3">
      <c r="A246" s="23" t="s">
        <v>1753</v>
      </c>
      <c r="B246" s="23" t="s">
        <v>379</v>
      </c>
      <c r="C246" s="23" t="s">
        <v>80</v>
      </c>
      <c r="D246" s="23" t="s">
        <v>1754</v>
      </c>
      <c r="E246" s="23" t="s">
        <v>382</v>
      </c>
      <c r="F246" s="23" t="s">
        <v>384</v>
      </c>
      <c r="G246" s="23" t="s">
        <v>175</v>
      </c>
      <c r="H246" s="23" t="s">
        <v>97</v>
      </c>
      <c r="I246" s="23" t="s">
        <v>96</v>
      </c>
      <c r="J246" s="23" t="s">
        <v>1755</v>
      </c>
      <c r="K246" s="23" t="s">
        <v>1755</v>
      </c>
      <c r="L246" s="23" t="s">
        <v>1756</v>
      </c>
      <c r="M246" s="23" t="s">
        <v>902</v>
      </c>
      <c r="N246" s="23" t="s">
        <v>111</v>
      </c>
      <c r="O246" s="23">
        <v>20000</v>
      </c>
      <c r="P246" s="29" t="s">
        <v>879</v>
      </c>
      <c r="Q246" s="23" t="s">
        <v>1757</v>
      </c>
      <c r="R246" s="23"/>
      <c r="S246" s="23" t="s">
        <v>887</v>
      </c>
    </row>
    <row r="247" spans="1:19" ht="43.2" x14ac:dyDescent="0.3">
      <c r="A247" s="23" t="s">
        <v>1758</v>
      </c>
      <c r="B247" s="23" t="s">
        <v>379</v>
      </c>
      <c r="C247" s="23" t="s">
        <v>80</v>
      </c>
      <c r="D247" s="23" t="s">
        <v>1754</v>
      </c>
      <c r="E247" s="23" t="s">
        <v>382</v>
      </c>
      <c r="F247" s="23" t="s">
        <v>384</v>
      </c>
      <c r="G247" s="23" t="s">
        <v>175</v>
      </c>
      <c r="H247" s="23" t="s">
        <v>97</v>
      </c>
      <c r="I247" s="23" t="s">
        <v>96</v>
      </c>
      <c r="J247" s="23" t="s">
        <v>1756</v>
      </c>
      <c r="K247" s="23" t="s">
        <v>1759</v>
      </c>
      <c r="L247" s="23" t="s">
        <v>1760</v>
      </c>
      <c r="M247" s="23" t="s">
        <v>878</v>
      </c>
      <c r="N247" s="23" t="s">
        <v>168</v>
      </c>
      <c r="O247" s="23">
        <v>30000</v>
      </c>
      <c r="P247" s="29" t="s">
        <v>879</v>
      </c>
      <c r="Q247" s="23" t="s">
        <v>1761</v>
      </c>
      <c r="R247" s="23"/>
      <c r="S247" s="23" t="s">
        <v>926</v>
      </c>
    </row>
    <row r="248" spans="1:19" ht="43.2" x14ac:dyDescent="0.3">
      <c r="A248" s="23" t="s">
        <v>1762</v>
      </c>
      <c r="B248" s="23" t="s">
        <v>379</v>
      </c>
      <c r="C248" s="23" t="s">
        <v>80</v>
      </c>
      <c r="D248" s="23" t="s">
        <v>1754</v>
      </c>
      <c r="E248" s="23" t="s">
        <v>382</v>
      </c>
      <c r="F248" s="23" t="s">
        <v>384</v>
      </c>
      <c r="G248" s="23" t="s">
        <v>175</v>
      </c>
      <c r="H248" s="23" t="s">
        <v>97</v>
      </c>
      <c r="I248" s="23" t="s">
        <v>96</v>
      </c>
      <c r="J248" s="23" t="s">
        <v>1760</v>
      </c>
      <c r="K248" s="23" t="s">
        <v>1760</v>
      </c>
      <c r="L248" s="23" t="s">
        <v>1763</v>
      </c>
      <c r="M248" s="23" t="s">
        <v>885</v>
      </c>
      <c r="N248" s="23" t="s">
        <v>111</v>
      </c>
      <c r="O248" s="23">
        <v>30000</v>
      </c>
      <c r="P248" s="29" t="s">
        <v>879</v>
      </c>
      <c r="Q248" s="23" t="s">
        <v>1764</v>
      </c>
      <c r="R248" s="23"/>
      <c r="S248" s="23" t="s">
        <v>904</v>
      </c>
    </row>
    <row r="249" spans="1:19" ht="43.2" x14ac:dyDescent="0.3">
      <c r="A249" s="23" t="s">
        <v>1765</v>
      </c>
      <c r="B249" s="23" t="s">
        <v>379</v>
      </c>
      <c r="C249" s="23" t="s">
        <v>80</v>
      </c>
      <c r="D249" s="23" t="s">
        <v>1754</v>
      </c>
      <c r="E249" s="23" t="s">
        <v>382</v>
      </c>
      <c r="F249" s="23" t="s">
        <v>384</v>
      </c>
      <c r="G249" s="23" t="s">
        <v>175</v>
      </c>
      <c r="H249" s="23" t="s">
        <v>97</v>
      </c>
      <c r="I249" s="23" t="s">
        <v>96</v>
      </c>
      <c r="J249" s="23" t="s">
        <v>1766</v>
      </c>
      <c r="K249" s="23" t="s">
        <v>262</v>
      </c>
      <c r="L249" s="23" t="s">
        <v>387</v>
      </c>
      <c r="M249" s="23" t="s">
        <v>890</v>
      </c>
      <c r="N249" s="23" t="s">
        <v>111</v>
      </c>
      <c r="O249" s="23">
        <v>15000</v>
      </c>
      <c r="P249" s="29" t="s">
        <v>879</v>
      </c>
      <c r="Q249" s="23" t="s">
        <v>1767</v>
      </c>
      <c r="R249" s="23"/>
      <c r="S249" s="23" t="s">
        <v>898</v>
      </c>
    </row>
    <row r="250" spans="1:19" ht="43.2" x14ac:dyDescent="0.3">
      <c r="A250" s="23" t="s">
        <v>1768</v>
      </c>
      <c r="B250" s="23" t="s">
        <v>379</v>
      </c>
      <c r="C250" s="23" t="s">
        <v>80</v>
      </c>
      <c r="D250" s="23" t="s">
        <v>1754</v>
      </c>
      <c r="E250" s="23" t="s">
        <v>382</v>
      </c>
      <c r="F250" s="23" t="s">
        <v>384</v>
      </c>
      <c r="G250" s="23" t="s">
        <v>175</v>
      </c>
      <c r="H250" s="23" t="s">
        <v>97</v>
      </c>
      <c r="I250" s="23" t="s">
        <v>96</v>
      </c>
      <c r="J250" s="23" t="s">
        <v>387</v>
      </c>
      <c r="K250" s="23"/>
      <c r="L250" s="23" t="s">
        <v>1769</v>
      </c>
      <c r="M250" s="23" t="s">
        <v>885</v>
      </c>
      <c r="N250" s="23" t="s">
        <v>111</v>
      </c>
      <c r="O250" s="23">
        <v>0</v>
      </c>
      <c r="P250" s="30" t="s">
        <v>948</v>
      </c>
      <c r="Q250" s="23" t="s">
        <v>1770</v>
      </c>
      <c r="R250" s="23"/>
      <c r="S250" s="23" t="s">
        <v>1396</v>
      </c>
    </row>
    <row r="251" spans="1:19" ht="43.2" x14ac:dyDescent="0.3">
      <c r="A251" s="23" t="s">
        <v>1771</v>
      </c>
      <c r="B251" s="23" t="s">
        <v>393</v>
      </c>
      <c r="C251" s="23" t="s">
        <v>394</v>
      </c>
      <c r="D251" s="23" t="s">
        <v>1772</v>
      </c>
      <c r="E251" s="23" t="s">
        <v>397</v>
      </c>
      <c r="F251" s="23" t="s">
        <v>399</v>
      </c>
      <c r="G251" s="23" t="s">
        <v>175</v>
      </c>
      <c r="H251" s="23" t="s">
        <v>404</v>
      </c>
      <c r="I251" s="23" t="s">
        <v>96</v>
      </c>
      <c r="J251" s="23" t="s">
        <v>1773</v>
      </c>
      <c r="K251" s="23" t="s">
        <v>1555</v>
      </c>
      <c r="L251" s="23" t="s">
        <v>1774</v>
      </c>
      <c r="M251" s="23" t="s">
        <v>885</v>
      </c>
      <c r="N251" s="23" t="s">
        <v>131</v>
      </c>
      <c r="O251" s="23">
        <v>20000</v>
      </c>
      <c r="P251" s="29" t="s">
        <v>879</v>
      </c>
      <c r="Q251" s="23" t="s">
        <v>1775</v>
      </c>
      <c r="R251" s="23"/>
      <c r="S251" s="23" t="s">
        <v>1776</v>
      </c>
    </row>
    <row r="252" spans="1:19" ht="43.2" x14ac:dyDescent="0.3">
      <c r="A252" s="23" t="s">
        <v>1777</v>
      </c>
      <c r="B252" s="23" t="s">
        <v>393</v>
      </c>
      <c r="C252" s="23" t="s">
        <v>394</v>
      </c>
      <c r="D252" s="23" t="s">
        <v>1772</v>
      </c>
      <c r="E252" s="23" t="s">
        <v>397</v>
      </c>
      <c r="F252" s="23" t="s">
        <v>399</v>
      </c>
      <c r="G252" s="23" t="s">
        <v>175</v>
      </c>
      <c r="H252" s="23" t="s">
        <v>404</v>
      </c>
      <c r="I252" s="23" t="s">
        <v>96</v>
      </c>
      <c r="J252" s="23" t="s">
        <v>1774</v>
      </c>
      <c r="K252" s="23" t="s">
        <v>1778</v>
      </c>
      <c r="L252" s="23" t="s">
        <v>156</v>
      </c>
      <c r="M252" s="23" t="s">
        <v>902</v>
      </c>
      <c r="N252" s="23" t="s">
        <v>929</v>
      </c>
      <c r="O252" s="23">
        <v>40000</v>
      </c>
      <c r="P252" s="29" t="s">
        <v>879</v>
      </c>
      <c r="Q252" s="23" t="s">
        <v>1779</v>
      </c>
      <c r="R252" s="23"/>
      <c r="S252" s="23" t="s">
        <v>1780</v>
      </c>
    </row>
    <row r="253" spans="1:19" ht="43.2" x14ac:dyDescent="0.3">
      <c r="A253" s="23" t="s">
        <v>1781</v>
      </c>
      <c r="B253" s="23" t="s">
        <v>393</v>
      </c>
      <c r="C253" s="23" t="s">
        <v>394</v>
      </c>
      <c r="D253" s="23" t="s">
        <v>1772</v>
      </c>
      <c r="E253" s="23" t="s">
        <v>397</v>
      </c>
      <c r="F253" s="23" t="s">
        <v>399</v>
      </c>
      <c r="G253" s="23" t="s">
        <v>175</v>
      </c>
      <c r="H253" s="23" t="s">
        <v>404</v>
      </c>
      <c r="I253" s="23" t="s">
        <v>96</v>
      </c>
      <c r="J253" s="23" t="s">
        <v>156</v>
      </c>
      <c r="K253" s="23" t="s">
        <v>1782</v>
      </c>
      <c r="L253" s="23" t="s">
        <v>1783</v>
      </c>
      <c r="M253" s="23" t="s">
        <v>878</v>
      </c>
      <c r="N253" s="23" t="s">
        <v>896</v>
      </c>
      <c r="O253" s="23">
        <v>25000</v>
      </c>
      <c r="P253" s="29" t="s">
        <v>879</v>
      </c>
      <c r="Q253" s="23" t="s">
        <v>1784</v>
      </c>
      <c r="R253" s="23"/>
      <c r="S253" s="23" t="s">
        <v>1785</v>
      </c>
    </row>
    <row r="254" spans="1:19" ht="43.2" x14ac:dyDescent="0.3">
      <c r="A254" s="23" t="s">
        <v>1786</v>
      </c>
      <c r="B254" s="23" t="s">
        <v>393</v>
      </c>
      <c r="C254" s="23" t="s">
        <v>394</v>
      </c>
      <c r="D254" s="23" t="s">
        <v>1772</v>
      </c>
      <c r="E254" s="23" t="s">
        <v>397</v>
      </c>
      <c r="F254" s="23" t="s">
        <v>399</v>
      </c>
      <c r="G254" s="23" t="s">
        <v>175</v>
      </c>
      <c r="H254" s="23" t="s">
        <v>404</v>
      </c>
      <c r="I254" s="23" t="s">
        <v>96</v>
      </c>
      <c r="J254" s="23" t="s">
        <v>1783</v>
      </c>
      <c r="K254" s="23" t="s">
        <v>1567</v>
      </c>
      <c r="L254" s="23" t="s">
        <v>1787</v>
      </c>
      <c r="M254" s="23" t="s">
        <v>885</v>
      </c>
      <c r="N254" s="23" t="s">
        <v>168</v>
      </c>
      <c r="O254" s="23">
        <v>40000</v>
      </c>
      <c r="P254" s="29" t="s">
        <v>879</v>
      </c>
      <c r="Q254" s="23" t="s">
        <v>1788</v>
      </c>
      <c r="R254" s="23" t="s">
        <v>938</v>
      </c>
      <c r="S254" s="23" t="s">
        <v>1785</v>
      </c>
    </row>
    <row r="255" spans="1:19" ht="43.2" x14ac:dyDescent="0.3">
      <c r="A255" s="23" t="s">
        <v>1789</v>
      </c>
      <c r="B255" s="23" t="s">
        <v>393</v>
      </c>
      <c r="C255" s="23" t="s">
        <v>394</v>
      </c>
      <c r="D255" s="23" t="s">
        <v>1772</v>
      </c>
      <c r="E255" s="23" t="s">
        <v>397</v>
      </c>
      <c r="F255" s="23" t="s">
        <v>399</v>
      </c>
      <c r="G255" s="23" t="s">
        <v>175</v>
      </c>
      <c r="H255" s="23" t="s">
        <v>404</v>
      </c>
      <c r="I255" s="23" t="s">
        <v>96</v>
      </c>
      <c r="J255" s="23" t="s">
        <v>1790</v>
      </c>
      <c r="K255" s="23" t="s">
        <v>402</v>
      </c>
      <c r="L255" s="23" t="s">
        <v>1791</v>
      </c>
      <c r="M255" s="23" t="s">
        <v>902</v>
      </c>
      <c r="N255" s="23" t="s">
        <v>219</v>
      </c>
      <c r="O255" s="23">
        <v>20000</v>
      </c>
      <c r="P255" s="29" t="s">
        <v>879</v>
      </c>
      <c r="Q255" s="23" t="s">
        <v>1792</v>
      </c>
      <c r="R255" s="23"/>
      <c r="S255" s="23" t="s">
        <v>1793</v>
      </c>
    </row>
    <row r="256" spans="1:19" ht="43.2" x14ac:dyDescent="0.3">
      <c r="A256" s="23" t="s">
        <v>1794</v>
      </c>
      <c r="B256" s="23" t="s">
        <v>393</v>
      </c>
      <c r="C256" s="23" t="s">
        <v>394</v>
      </c>
      <c r="D256" s="23" t="s">
        <v>1772</v>
      </c>
      <c r="E256" s="23" t="s">
        <v>397</v>
      </c>
      <c r="F256" s="23" t="s">
        <v>399</v>
      </c>
      <c r="G256" s="23" t="s">
        <v>175</v>
      </c>
      <c r="H256" s="23" t="s">
        <v>404</v>
      </c>
      <c r="I256" s="23" t="s">
        <v>96</v>
      </c>
      <c r="J256" s="23" t="s">
        <v>403</v>
      </c>
      <c r="K256" s="23"/>
      <c r="L256" s="23" t="s">
        <v>1795</v>
      </c>
      <c r="M256" s="23" t="s">
        <v>878</v>
      </c>
      <c r="N256" s="23" t="s">
        <v>929</v>
      </c>
      <c r="O256" s="23">
        <v>0</v>
      </c>
      <c r="P256" s="30" t="s">
        <v>948</v>
      </c>
      <c r="Q256" s="23" t="s">
        <v>1796</v>
      </c>
      <c r="R256" s="23"/>
      <c r="S256" s="23" t="s">
        <v>1396</v>
      </c>
    </row>
    <row r="257" spans="1:19" ht="43.2" x14ac:dyDescent="0.3">
      <c r="A257" s="23" t="s">
        <v>1797</v>
      </c>
      <c r="B257" s="23" t="s">
        <v>410</v>
      </c>
      <c r="C257" s="23" t="s">
        <v>394</v>
      </c>
      <c r="D257" s="23" t="s">
        <v>1798</v>
      </c>
      <c r="E257" s="23" t="s">
        <v>411</v>
      </c>
      <c r="F257" s="23" t="s">
        <v>413</v>
      </c>
      <c r="G257" s="23" t="s">
        <v>175</v>
      </c>
      <c r="H257" s="23" t="s">
        <v>404</v>
      </c>
      <c r="I257" s="23" t="s">
        <v>96</v>
      </c>
      <c r="J257" s="23" t="s">
        <v>1799</v>
      </c>
      <c r="K257" s="23" t="s">
        <v>1800</v>
      </c>
      <c r="L257" s="23" t="s">
        <v>1801</v>
      </c>
      <c r="M257" s="23" t="s">
        <v>902</v>
      </c>
      <c r="N257" s="23" t="s">
        <v>929</v>
      </c>
      <c r="O257" s="23">
        <v>40000</v>
      </c>
      <c r="P257" s="29" t="s">
        <v>879</v>
      </c>
      <c r="Q257" s="23" t="s">
        <v>1802</v>
      </c>
      <c r="R257" s="23"/>
      <c r="S257" s="23" t="s">
        <v>1776</v>
      </c>
    </row>
    <row r="258" spans="1:19" ht="43.2" x14ac:dyDescent="0.3">
      <c r="A258" s="23" t="s">
        <v>1803</v>
      </c>
      <c r="B258" s="23" t="s">
        <v>410</v>
      </c>
      <c r="C258" s="23" t="s">
        <v>394</v>
      </c>
      <c r="D258" s="23" t="s">
        <v>1798</v>
      </c>
      <c r="E258" s="23" t="s">
        <v>411</v>
      </c>
      <c r="F258" s="23" t="s">
        <v>413</v>
      </c>
      <c r="G258" s="23" t="s">
        <v>175</v>
      </c>
      <c r="H258" s="23" t="s">
        <v>404</v>
      </c>
      <c r="I258" s="23" t="s">
        <v>96</v>
      </c>
      <c r="J258" s="23" t="s">
        <v>1801</v>
      </c>
      <c r="K258" s="23" t="s">
        <v>1804</v>
      </c>
      <c r="L258" s="23" t="s">
        <v>291</v>
      </c>
      <c r="M258" s="23" t="s">
        <v>885</v>
      </c>
      <c r="N258" s="23" t="s">
        <v>168</v>
      </c>
      <c r="O258" s="23">
        <v>20000</v>
      </c>
      <c r="P258" s="29" t="s">
        <v>879</v>
      </c>
      <c r="Q258" s="23" t="s">
        <v>1805</v>
      </c>
      <c r="R258" s="23"/>
      <c r="S258" s="23" t="s">
        <v>1806</v>
      </c>
    </row>
    <row r="259" spans="1:19" ht="43.2" x14ac:dyDescent="0.3">
      <c r="A259" s="23" t="s">
        <v>1807</v>
      </c>
      <c r="B259" s="23" t="s">
        <v>410</v>
      </c>
      <c r="C259" s="23" t="s">
        <v>394</v>
      </c>
      <c r="D259" s="23" t="s">
        <v>1798</v>
      </c>
      <c r="E259" s="23" t="s">
        <v>411</v>
      </c>
      <c r="F259" s="23" t="s">
        <v>413</v>
      </c>
      <c r="G259" s="23" t="s">
        <v>175</v>
      </c>
      <c r="H259" s="23" t="s">
        <v>404</v>
      </c>
      <c r="I259" s="23" t="s">
        <v>96</v>
      </c>
      <c r="J259" s="23" t="s">
        <v>291</v>
      </c>
      <c r="K259" s="23" t="s">
        <v>416</v>
      </c>
      <c r="L259" s="23" t="s">
        <v>417</v>
      </c>
      <c r="M259" s="23" t="s">
        <v>878</v>
      </c>
      <c r="N259" s="23" t="s">
        <v>896</v>
      </c>
      <c r="O259" s="23">
        <v>35000</v>
      </c>
      <c r="P259" s="29" t="s">
        <v>879</v>
      </c>
      <c r="Q259" s="23" t="s">
        <v>1808</v>
      </c>
      <c r="R259" s="23"/>
      <c r="S259" s="23" t="s">
        <v>1776</v>
      </c>
    </row>
    <row r="260" spans="1:19" ht="43.2" x14ac:dyDescent="0.3">
      <c r="A260" s="23" t="s">
        <v>1809</v>
      </c>
      <c r="B260" s="23" t="s">
        <v>410</v>
      </c>
      <c r="C260" s="23" t="s">
        <v>394</v>
      </c>
      <c r="D260" s="23" t="s">
        <v>1798</v>
      </c>
      <c r="E260" s="23" t="s">
        <v>411</v>
      </c>
      <c r="F260" s="23" t="s">
        <v>413</v>
      </c>
      <c r="G260" s="23" t="s">
        <v>175</v>
      </c>
      <c r="H260" s="23" t="s">
        <v>404</v>
      </c>
      <c r="I260" s="23" t="s">
        <v>96</v>
      </c>
      <c r="J260" s="23" t="s">
        <v>417</v>
      </c>
      <c r="K260" s="23"/>
      <c r="L260" s="23" t="s">
        <v>1810</v>
      </c>
      <c r="M260" s="23" t="s">
        <v>902</v>
      </c>
      <c r="N260" s="23" t="s">
        <v>131</v>
      </c>
      <c r="O260" s="23">
        <v>0</v>
      </c>
      <c r="P260" s="30" t="s">
        <v>948</v>
      </c>
      <c r="Q260" s="23" t="s">
        <v>1811</v>
      </c>
      <c r="R260" s="23"/>
      <c r="S260" s="23"/>
    </row>
    <row r="261" spans="1:19" ht="43.2" x14ac:dyDescent="0.3">
      <c r="A261" s="23" t="s">
        <v>1812</v>
      </c>
      <c r="B261" s="23" t="s">
        <v>423</v>
      </c>
      <c r="C261" s="23" t="s">
        <v>394</v>
      </c>
      <c r="D261" s="23" t="s">
        <v>1772</v>
      </c>
      <c r="E261" s="23" t="s">
        <v>424</v>
      </c>
      <c r="F261" s="23" t="s">
        <v>426</v>
      </c>
      <c r="G261" s="23" t="s">
        <v>88</v>
      </c>
      <c r="H261" s="23" t="s">
        <v>404</v>
      </c>
      <c r="I261" s="23" t="s">
        <v>96</v>
      </c>
      <c r="J261" s="23" t="s">
        <v>451</v>
      </c>
      <c r="K261" s="23" t="s">
        <v>1813</v>
      </c>
      <c r="L261" s="23" t="s">
        <v>1814</v>
      </c>
      <c r="M261" s="23" t="s">
        <v>885</v>
      </c>
      <c r="N261" s="23" t="s">
        <v>131</v>
      </c>
      <c r="O261" s="23">
        <v>20000</v>
      </c>
      <c r="P261" s="29" t="s">
        <v>879</v>
      </c>
      <c r="Q261" s="23" t="s">
        <v>1815</v>
      </c>
      <c r="R261" s="23"/>
      <c r="S261" s="23" t="s">
        <v>1806</v>
      </c>
    </row>
    <row r="262" spans="1:19" ht="43.2" x14ac:dyDescent="0.3">
      <c r="A262" s="23" t="s">
        <v>1816</v>
      </c>
      <c r="B262" s="23" t="s">
        <v>423</v>
      </c>
      <c r="C262" s="23" t="s">
        <v>394</v>
      </c>
      <c r="D262" s="23" t="s">
        <v>1772</v>
      </c>
      <c r="E262" s="23" t="s">
        <v>424</v>
      </c>
      <c r="F262" s="23" t="s">
        <v>426</v>
      </c>
      <c r="G262" s="23" t="s">
        <v>88</v>
      </c>
      <c r="H262" s="23" t="s">
        <v>404</v>
      </c>
      <c r="I262" s="23" t="s">
        <v>96</v>
      </c>
      <c r="J262" s="23" t="s">
        <v>1814</v>
      </c>
      <c r="K262" s="23" t="s">
        <v>1817</v>
      </c>
      <c r="L262" s="23" t="s">
        <v>1171</v>
      </c>
      <c r="M262" s="23" t="s">
        <v>878</v>
      </c>
      <c r="N262" s="23" t="s">
        <v>111</v>
      </c>
      <c r="O262" s="23">
        <v>40000</v>
      </c>
      <c r="P262" s="29" t="s">
        <v>879</v>
      </c>
      <c r="Q262" s="23" t="s">
        <v>1818</v>
      </c>
      <c r="R262" s="23"/>
      <c r="S262" s="23" t="s">
        <v>1819</v>
      </c>
    </row>
    <row r="263" spans="1:19" ht="43.2" x14ac:dyDescent="0.3">
      <c r="A263" s="23" t="s">
        <v>1820</v>
      </c>
      <c r="B263" s="23" t="s">
        <v>423</v>
      </c>
      <c r="C263" s="23" t="s">
        <v>394</v>
      </c>
      <c r="D263" s="23" t="s">
        <v>1772</v>
      </c>
      <c r="E263" s="23" t="s">
        <v>424</v>
      </c>
      <c r="F263" s="23" t="s">
        <v>426</v>
      </c>
      <c r="G263" s="23" t="s">
        <v>88</v>
      </c>
      <c r="H263" s="23" t="s">
        <v>404</v>
      </c>
      <c r="I263" s="23" t="s">
        <v>96</v>
      </c>
      <c r="J263" s="23" t="s">
        <v>1171</v>
      </c>
      <c r="K263" s="23" t="s">
        <v>1821</v>
      </c>
      <c r="L263" s="23" t="s">
        <v>1822</v>
      </c>
      <c r="M263" s="23" t="s">
        <v>878</v>
      </c>
      <c r="N263" s="23" t="s">
        <v>131</v>
      </c>
      <c r="O263" s="23">
        <v>20000</v>
      </c>
      <c r="P263" s="29" t="s">
        <v>879</v>
      </c>
      <c r="Q263" s="23" t="s">
        <v>1823</v>
      </c>
      <c r="R263" s="23"/>
      <c r="S263" s="23" t="s">
        <v>1806</v>
      </c>
    </row>
    <row r="264" spans="1:19" ht="43.2" x14ac:dyDescent="0.3">
      <c r="A264" s="23" t="s">
        <v>1824</v>
      </c>
      <c r="B264" s="23" t="s">
        <v>423</v>
      </c>
      <c r="C264" s="23" t="s">
        <v>394</v>
      </c>
      <c r="D264" s="23" t="s">
        <v>1772</v>
      </c>
      <c r="E264" s="23" t="s">
        <v>424</v>
      </c>
      <c r="F264" s="23" t="s">
        <v>426</v>
      </c>
      <c r="G264" s="23" t="s">
        <v>88</v>
      </c>
      <c r="H264" s="23" t="s">
        <v>404</v>
      </c>
      <c r="I264" s="23" t="s">
        <v>96</v>
      </c>
      <c r="J264" s="23" t="s">
        <v>1822</v>
      </c>
      <c r="K264" s="23" t="s">
        <v>1599</v>
      </c>
      <c r="L264" s="23" t="s">
        <v>1825</v>
      </c>
      <c r="M264" s="23" t="s">
        <v>878</v>
      </c>
      <c r="N264" s="23" t="s">
        <v>929</v>
      </c>
      <c r="O264" s="23">
        <v>35000</v>
      </c>
      <c r="P264" s="29" t="s">
        <v>879</v>
      </c>
      <c r="Q264" s="23" t="s">
        <v>1826</v>
      </c>
      <c r="R264" s="23"/>
      <c r="S264" s="23" t="s">
        <v>1785</v>
      </c>
    </row>
    <row r="265" spans="1:19" ht="43.2" x14ac:dyDescent="0.3">
      <c r="A265" s="23" t="s">
        <v>1827</v>
      </c>
      <c r="B265" s="23" t="s">
        <v>423</v>
      </c>
      <c r="C265" s="23" t="s">
        <v>394</v>
      </c>
      <c r="D265" s="23" t="s">
        <v>1772</v>
      </c>
      <c r="E265" s="23" t="s">
        <v>424</v>
      </c>
      <c r="F265" s="23" t="s">
        <v>426</v>
      </c>
      <c r="G265" s="23" t="s">
        <v>88</v>
      </c>
      <c r="H265" s="23" t="s">
        <v>404</v>
      </c>
      <c r="I265" s="23" t="s">
        <v>96</v>
      </c>
      <c r="J265" s="23" t="s">
        <v>1825</v>
      </c>
      <c r="K265" s="23" t="s">
        <v>429</v>
      </c>
      <c r="L265" s="23" t="s">
        <v>698</v>
      </c>
      <c r="M265" s="23" t="s">
        <v>902</v>
      </c>
      <c r="N265" s="23" t="s">
        <v>111</v>
      </c>
      <c r="O265" s="23">
        <v>20000</v>
      </c>
      <c r="P265" s="29" t="s">
        <v>879</v>
      </c>
      <c r="Q265" s="23" t="s">
        <v>1828</v>
      </c>
      <c r="R265" s="23" t="s">
        <v>938</v>
      </c>
      <c r="S265" s="23" t="s">
        <v>1819</v>
      </c>
    </row>
    <row r="266" spans="1:19" ht="43.2" x14ac:dyDescent="0.3">
      <c r="A266" s="23" t="s">
        <v>1829</v>
      </c>
      <c r="B266" s="23" t="s">
        <v>423</v>
      </c>
      <c r="C266" s="23" t="s">
        <v>394</v>
      </c>
      <c r="D266" s="23" t="s">
        <v>1772</v>
      </c>
      <c r="E266" s="23" t="s">
        <v>424</v>
      </c>
      <c r="F266" s="23" t="s">
        <v>426</v>
      </c>
      <c r="G266" s="23" t="s">
        <v>88</v>
      </c>
      <c r="H266" s="23" t="s">
        <v>404</v>
      </c>
      <c r="I266" s="23" t="s">
        <v>96</v>
      </c>
      <c r="J266" s="23" t="s">
        <v>430</v>
      </c>
      <c r="K266" s="23" t="s">
        <v>430</v>
      </c>
      <c r="L266" s="23" t="s">
        <v>1830</v>
      </c>
      <c r="M266" s="23" t="s">
        <v>878</v>
      </c>
      <c r="N266" s="23" t="s">
        <v>219</v>
      </c>
      <c r="O266" s="23">
        <v>40000</v>
      </c>
      <c r="P266" s="32" t="s">
        <v>1831</v>
      </c>
      <c r="Q266" s="23" t="s">
        <v>1832</v>
      </c>
      <c r="R266" s="23"/>
      <c r="S266" s="23" t="s">
        <v>1833</v>
      </c>
    </row>
    <row r="267" spans="1:19" ht="43.2" x14ac:dyDescent="0.3">
      <c r="A267" s="23" t="s">
        <v>1834</v>
      </c>
      <c r="B267" s="23" t="s">
        <v>435</v>
      </c>
      <c r="C267" s="23" t="s">
        <v>394</v>
      </c>
      <c r="D267" s="23" t="s">
        <v>1835</v>
      </c>
      <c r="E267" s="23" t="s">
        <v>436</v>
      </c>
      <c r="F267" s="23" t="s">
        <v>438</v>
      </c>
      <c r="G267" s="23" t="s">
        <v>88</v>
      </c>
      <c r="H267" s="23" t="s">
        <v>404</v>
      </c>
      <c r="I267" s="23" t="s">
        <v>96</v>
      </c>
      <c r="J267" s="23" t="s">
        <v>1836</v>
      </c>
      <c r="K267" s="23" t="s">
        <v>1837</v>
      </c>
      <c r="L267" s="23" t="s">
        <v>1838</v>
      </c>
      <c r="M267" s="23" t="s">
        <v>878</v>
      </c>
      <c r="N267" s="23" t="s">
        <v>219</v>
      </c>
      <c r="O267" s="23">
        <v>40000</v>
      </c>
      <c r="P267" s="29" t="s">
        <v>879</v>
      </c>
      <c r="Q267" s="23" t="s">
        <v>1839</v>
      </c>
      <c r="R267" s="23"/>
      <c r="S267" s="23" t="s">
        <v>1793</v>
      </c>
    </row>
    <row r="268" spans="1:19" ht="43.2" x14ac:dyDescent="0.3">
      <c r="A268" s="23" t="s">
        <v>1840</v>
      </c>
      <c r="B268" s="23" t="s">
        <v>435</v>
      </c>
      <c r="C268" s="23" t="s">
        <v>394</v>
      </c>
      <c r="D268" s="23" t="s">
        <v>1835</v>
      </c>
      <c r="E268" s="23" t="s">
        <v>436</v>
      </c>
      <c r="F268" s="23" t="s">
        <v>438</v>
      </c>
      <c r="G268" s="23" t="s">
        <v>88</v>
      </c>
      <c r="H268" s="23" t="s">
        <v>404</v>
      </c>
      <c r="I268" s="23" t="s">
        <v>96</v>
      </c>
      <c r="J268" s="23" t="s">
        <v>1838</v>
      </c>
      <c r="K268" s="23" t="s">
        <v>1841</v>
      </c>
      <c r="L268" s="23" t="s">
        <v>1842</v>
      </c>
      <c r="M268" s="23" t="s">
        <v>885</v>
      </c>
      <c r="N268" s="23" t="s">
        <v>896</v>
      </c>
      <c r="O268" s="23">
        <v>40000</v>
      </c>
      <c r="P268" s="29" t="s">
        <v>879</v>
      </c>
      <c r="Q268" s="23" t="s">
        <v>1843</v>
      </c>
      <c r="R268" s="23"/>
      <c r="S268" s="23" t="s">
        <v>1819</v>
      </c>
    </row>
    <row r="269" spans="1:19" ht="43.2" x14ac:dyDescent="0.3">
      <c r="A269" s="23" t="s">
        <v>1844</v>
      </c>
      <c r="B269" s="23" t="s">
        <v>435</v>
      </c>
      <c r="C269" s="23" t="s">
        <v>394</v>
      </c>
      <c r="D269" s="23" t="s">
        <v>1835</v>
      </c>
      <c r="E269" s="23" t="s">
        <v>436</v>
      </c>
      <c r="F269" s="23" t="s">
        <v>438</v>
      </c>
      <c r="G269" s="23" t="s">
        <v>88</v>
      </c>
      <c r="H269" s="23" t="s">
        <v>404</v>
      </c>
      <c r="I269" s="23" t="s">
        <v>96</v>
      </c>
      <c r="J269" s="23" t="s">
        <v>1842</v>
      </c>
      <c r="K269" s="23" t="s">
        <v>1845</v>
      </c>
      <c r="L269" s="23" t="s">
        <v>361</v>
      </c>
      <c r="M269" s="23" t="s">
        <v>902</v>
      </c>
      <c r="N269" s="23" t="s">
        <v>896</v>
      </c>
      <c r="O269" s="23">
        <v>35000</v>
      </c>
      <c r="P269" s="29" t="s">
        <v>879</v>
      </c>
      <c r="Q269" s="23" t="s">
        <v>1846</v>
      </c>
      <c r="R269" s="23"/>
      <c r="S269" s="23" t="s">
        <v>1776</v>
      </c>
    </row>
    <row r="270" spans="1:19" ht="43.2" x14ac:dyDescent="0.3">
      <c r="A270" s="23" t="s">
        <v>1847</v>
      </c>
      <c r="B270" s="23" t="s">
        <v>435</v>
      </c>
      <c r="C270" s="23" t="s">
        <v>394</v>
      </c>
      <c r="D270" s="23" t="s">
        <v>1835</v>
      </c>
      <c r="E270" s="23" t="s">
        <v>436</v>
      </c>
      <c r="F270" s="23" t="s">
        <v>438</v>
      </c>
      <c r="G270" s="23" t="s">
        <v>88</v>
      </c>
      <c r="H270" s="23" t="s">
        <v>404</v>
      </c>
      <c r="I270" s="23" t="s">
        <v>96</v>
      </c>
      <c r="J270" s="23" t="s">
        <v>361</v>
      </c>
      <c r="K270" s="23" t="s">
        <v>160</v>
      </c>
      <c r="L270" s="23" t="s">
        <v>441</v>
      </c>
      <c r="M270" s="23" t="s">
        <v>878</v>
      </c>
      <c r="N270" s="23" t="s">
        <v>929</v>
      </c>
      <c r="O270" s="23">
        <v>35000</v>
      </c>
      <c r="P270" s="29" t="s">
        <v>879</v>
      </c>
      <c r="Q270" s="23" t="s">
        <v>1848</v>
      </c>
      <c r="R270" s="23"/>
      <c r="S270" s="23" t="s">
        <v>1793</v>
      </c>
    </row>
    <row r="271" spans="1:19" ht="43.2" x14ac:dyDescent="0.3">
      <c r="A271" s="23" t="s">
        <v>1849</v>
      </c>
      <c r="B271" s="23" t="s">
        <v>435</v>
      </c>
      <c r="C271" s="23" t="s">
        <v>394</v>
      </c>
      <c r="D271" s="23" t="s">
        <v>1835</v>
      </c>
      <c r="E271" s="23" t="s">
        <v>436</v>
      </c>
      <c r="F271" s="23" t="s">
        <v>438</v>
      </c>
      <c r="G271" s="23" t="s">
        <v>88</v>
      </c>
      <c r="H271" s="23" t="s">
        <v>404</v>
      </c>
      <c r="I271" s="23" t="s">
        <v>96</v>
      </c>
      <c r="J271" s="23" t="s">
        <v>441</v>
      </c>
      <c r="K271" s="23"/>
      <c r="L271" s="23" t="s">
        <v>332</v>
      </c>
      <c r="M271" s="23" t="s">
        <v>902</v>
      </c>
      <c r="N271" s="23" t="s">
        <v>168</v>
      </c>
      <c r="O271" s="23">
        <v>0</v>
      </c>
      <c r="P271" s="30" t="s">
        <v>948</v>
      </c>
      <c r="Q271" s="23" t="s">
        <v>1850</v>
      </c>
      <c r="R271" s="23"/>
      <c r="S271" s="23" t="s">
        <v>1066</v>
      </c>
    </row>
    <row r="272" spans="1:19" ht="43.2" x14ac:dyDescent="0.3">
      <c r="A272" s="23" t="s">
        <v>1851</v>
      </c>
      <c r="B272" s="23" t="s">
        <v>447</v>
      </c>
      <c r="C272" s="23" t="s">
        <v>394</v>
      </c>
      <c r="D272" s="23" t="s">
        <v>1852</v>
      </c>
      <c r="E272" s="23" t="s">
        <v>448</v>
      </c>
      <c r="F272" s="23" t="s">
        <v>450</v>
      </c>
      <c r="G272" s="23" t="s">
        <v>88</v>
      </c>
      <c r="H272" s="23" t="s">
        <v>404</v>
      </c>
      <c r="I272" s="23" t="s">
        <v>96</v>
      </c>
      <c r="J272" s="23" t="s">
        <v>1441</v>
      </c>
      <c r="K272" s="23" t="s">
        <v>1853</v>
      </c>
      <c r="L272" s="23" t="s">
        <v>1445</v>
      </c>
      <c r="M272" s="23" t="s">
        <v>885</v>
      </c>
      <c r="N272" s="23" t="s">
        <v>920</v>
      </c>
      <c r="O272" s="23">
        <v>20000</v>
      </c>
      <c r="P272" s="29" t="s">
        <v>879</v>
      </c>
      <c r="Q272" s="23" t="s">
        <v>1854</v>
      </c>
      <c r="R272" s="23"/>
      <c r="S272" s="23" t="s">
        <v>1793</v>
      </c>
    </row>
    <row r="273" spans="1:19" ht="43.2" x14ac:dyDescent="0.3">
      <c r="A273" s="23" t="s">
        <v>1855</v>
      </c>
      <c r="B273" s="23" t="s">
        <v>447</v>
      </c>
      <c r="C273" s="23" t="s">
        <v>394</v>
      </c>
      <c r="D273" s="23" t="s">
        <v>1852</v>
      </c>
      <c r="E273" s="23" t="s">
        <v>448</v>
      </c>
      <c r="F273" s="23" t="s">
        <v>450</v>
      </c>
      <c r="G273" s="23" t="s">
        <v>88</v>
      </c>
      <c r="H273" s="23" t="s">
        <v>404</v>
      </c>
      <c r="I273" s="23" t="s">
        <v>96</v>
      </c>
      <c r="J273" s="23" t="s">
        <v>1445</v>
      </c>
      <c r="K273" s="23" t="s">
        <v>1516</v>
      </c>
      <c r="L273" s="23" t="s">
        <v>228</v>
      </c>
      <c r="M273" s="23" t="s">
        <v>885</v>
      </c>
      <c r="N273" s="23" t="s">
        <v>168</v>
      </c>
      <c r="O273" s="23">
        <v>25000</v>
      </c>
      <c r="P273" s="29" t="s">
        <v>879</v>
      </c>
      <c r="Q273" s="23" t="s">
        <v>1856</v>
      </c>
      <c r="R273" s="23"/>
      <c r="S273" s="23" t="s">
        <v>1806</v>
      </c>
    </row>
    <row r="274" spans="1:19" ht="43.2" x14ac:dyDescent="0.3">
      <c r="A274" s="23" t="s">
        <v>1857</v>
      </c>
      <c r="B274" s="23" t="s">
        <v>447</v>
      </c>
      <c r="C274" s="23" t="s">
        <v>394</v>
      </c>
      <c r="D274" s="23" t="s">
        <v>1852</v>
      </c>
      <c r="E274" s="23" t="s">
        <v>448</v>
      </c>
      <c r="F274" s="23" t="s">
        <v>450</v>
      </c>
      <c r="G274" s="23" t="s">
        <v>88</v>
      </c>
      <c r="H274" s="23" t="s">
        <v>404</v>
      </c>
      <c r="I274" s="23" t="s">
        <v>96</v>
      </c>
      <c r="J274" s="23" t="s">
        <v>228</v>
      </c>
      <c r="K274" s="23" t="s">
        <v>1520</v>
      </c>
      <c r="L274" s="23" t="s">
        <v>1448</v>
      </c>
      <c r="M274" s="23" t="s">
        <v>885</v>
      </c>
      <c r="N274" s="23" t="s">
        <v>929</v>
      </c>
      <c r="O274" s="23">
        <v>35000</v>
      </c>
      <c r="P274" s="29" t="s">
        <v>879</v>
      </c>
      <c r="Q274" s="23" t="s">
        <v>1858</v>
      </c>
      <c r="R274" s="23"/>
      <c r="S274" s="23" t="s">
        <v>1785</v>
      </c>
    </row>
    <row r="275" spans="1:19" ht="43.2" x14ac:dyDescent="0.3">
      <c r="A275" s="23" t="s">
        <v>1859</v>
      </c>
      <c r="B275" s="23" t="s">
        <v>447</v>
      </c>
      <c r="C275" s="23" t="s">
        <v>394</v>
      </c>
      <c r="D275" s="23" t="s">
        <v>1852</v>
      </c>
      <c r="E275" s="23" t="s">
        <v>448</v>
      </c>
      <c r="F275" s="23" t="s">
        <v>450</v>
      </c>
      <c r="G275" s="23" t="s">
        <v>88</v>
      </c>
      <c r="H275" s="23" t="s">
        <v>404</v>
      </c>
      <c r="I275" s="23" t="s">
        <v>96</v>
      </c>
      <c r="J275" s="23" t="s">
        <v>1448</v>
      </c>
      <c r="K275" s="23" t="s">
        <v>1283</v>
      </c>
      <c r="L275" s="23" t="s">
        <v>1452</v>
      </c>
      <c r="M275" s="23" t="s">
        <v>878</v>
      </c>
      <c r="N275" s="23" t="s">
        <v>929</v>
      </c>
      <c r="O275" s="23">
        <v>35000</v>
      </c>
      <c r="P275" s="29" t="s">
        <v>879</v>
      </c>
      <c r="Q275" s="23" t="s">
        <v>1860</v>
      </c>
      <c r="R275" s="23"/>
      <c r="S275" s="23" t="s">
        <v>1806</v>
      </c>
    </row>
    <row r="276" spans="1:19" ht="43.2" x14ac:dyDescent="0.3">
      <c r="A276" s="23" t="s">
        <v>1861</v>
      </c>
      <c r="B276" s="23" t="s">
        <v>447</v>
      </c>
      <c r="C276" s="23" t="s">
        <v>394</v>
      </c>
      <c r="D276" s="23" t="s">
        <v>1852</v>
      </c>
      <c r="E276" s="23" t="s">
        <v>448</v>
      </c>
      <c r="F276" s="23" t="s">
        <v>450</v>
      </c>
      <c r="G276" s="23" t="s">
        <v>88</v>
      </c>
      <c r="H276" s="23" t="s">
        <v>404</v>
      </c>
      <c r="I276" s="23" t="s">
        <v>96</v>
      </c>
      <c r="J276" s="23" t="s">
        <v>700</v>
      </c>
      <c r="K276" s="23" t="s">
        <v>453</v>
      </c>
      <c r="L276" s="23" t="s">
        <v>243</v>
      </c>
      <c r="M276" s="23" t="s">
        <v>878</v>
      </c>
      <c r="N276" s="23" t="s">
        <v>896</v>
      </c>
      <c r="O276" s="23">
        <v>40000</v>
      </c>
      <c r="P276" s="29" t="s">
        <v>879</v>
      </c>
      <c r="Q276" s="23" t="s">
        <v>1862</v>
      </c>
      <c r="R276" s="23"/>
      <c r="S276" s="23" t="s">
        <v>1819</v>
      </c>
    </row>
    <row r="277" spans="1:19" ht="43.2" x14ac:dyDescent="0.3">
      <c r="A277" s="23" t="s">
        <v>1863</v>
      </c>
      <c r="B277" s="23" t="s">
        <v>447</v>
      </c>
      <c r="C277" s="23" t="s">
        <v>394</v>
      </c>
      <c r="D277" s="23" t="s">
        <v>1852</v>
      </c>
      <c r="E277" s="23" t="s">
        <v>448</v>
      </c>
      <c r="F277" s="23" t="s">
        <v>450</v>
      </c>
      <c r="G277" s="23" t="s">
        <v>88</v>
      </c>
      <c r="H277" s="23" t="s">
        <v>404</v>
      </c>
      <c r="I277" s="23" t="s">
        <v>96</v>
      </c>
      <c r="J277" s="23" t="s">
        <v>243</v>
      </c>
      <c r="K277" s="23"/>
      <c r="L277" s="23" t="s">
        <v>432</v>
      </c>
      <c r="M277" s="23" t="s">
        <v>885</v>
      </c>
      <c r="N277" s="23" t="s">
        <v>168</v>
      </c>
      <c r="O277" s="23">
        <v>0</v>
      </c>
      <c r="P277" s="30" t="s">
        <v>948</v>
      </c>
      <c r="Q277" s="23" t="s">
        <v>1864</v>
      </c>
      <c r="R277" s="23"/>
      <c r="S277" s="23"/>
    </row>
    <row r="278" spans="1:19" ht="43.2" x14ac:dyDescent="0.3">
      <c r="A278" s="23" t="s">
        <v>1865</v>
      </c>
      <c r="B278" s="23" t="s">
        <v>469</v>
      </c>
      <c r="C278" s="23" t="s">
        <v>470</v>
      </c>
      <c r="D278" s="23" t="s">
        <v>1866</v>
      </c>
      <c r="E278" s="23" t="s">
        <v>473</v>
      </c>
      <c r="F278" s="23" t="s">
        <v>475</v>
      </c>
      <c r="G278" s="23" t="s">
        <v>477</v>
      </c>
      <c r="H278" s="23" t="s">
        <v>483</v>
      </c>
      <c r="I278" s="23" t="s">
        <v>482</v>
      </c>
      <c r="J278" s="23" t="s">
        <v>1867</v>
      </c>
      <c r="K278" s="23" t="s">
        <v>1867</v>
      </c>
      <c r="L278" s="23" t="s">
        <v>1267</v>
      </c>
      <c r="M278" s="23" t="s">
        <v>878</v>
      </c>
      <c r="N278" s="23" t="s">
        <v>920</v>
      </c>
      <c r="O278" s="23">
        <v>100000</v>
      </c>
      <c r="P278" s="29" t="s">
        <v>879</v>
      </c>
      <c r="Q278" s="23" t="s">
        <v>1868</v>
      </c>
      <c r="R278" s="23"/>
      <c r="S278" s="23" t="s">
        <v>1869</v>
      </c>
    </row>
    <row r="279" spans="1:19" ht="43.2" x14ac:dyDescent="0.3">
      <c r="A279" s="23" t="s">
        <v>1870</v>
      </c>
      <c r="B279" s="23" t="s">
        <v>469</v>
      </c>
      <c r="C279" s="23" t="s">
        <v>470</v>
      </c>
      <c r="D279" s="23" t="s">
        <v>1866</v>
      </c>
      <c r="E279" s="23" t="s">
        <v>473</v>
      </c>
      <c r="F279" s="23" t="s">
        <v>475</v>
      </c>
      <c r="G279" s="23" t="s">
        <v>477</v>
      </c>
      <c r="H279" s="23" t="s">
        <v>483</v>
      </c>
      <c r="I279" s="23" t="s">
        <v>482</v>
      </c>
      <c r="J279" s="23" t="s">
        <v>1871</v>
      </c>
      <c r="K279" s="23" t="s">
        <v>1094</v>
      </c>
      <c r="L279" s="23" t="s">
        <v>1872</v>
      </c>
      <c r="M279" s="23" t="s">
        <v>878</v>
      </c>
      <c r="N279" s="23" t="s">
        <v>929</v>
      </c>
      <c r="O279" s="23">
        <v>100000</v>
      </c>
      <c r="P279" s="29" t="s">
        <v>879</v>
      </c>
      <c r="Q279" s="23" t="s">
        <v>1873</v>
      </c>
      <c r="R279" s="23"/>
      <c r="S279" s="23" t="s">
        <v>1874</v>
      </c>
    </row>
    <row r="280" spans="1:19" ht="43.2" x14ac:dyDescent="0.3">
      <c r="A280" s="23" t="s">
        <v>1875</v>
      </c>
      <c r="B280" s="23" t="s">
        <v>469</v>
      </c>
      <c r="C280" s="23" t="s">
        <v>470</v>
      </c>
      <c r="D280" s="23" t="s">
        <v>1866</v>
      </c>
      <c r="E280" s="23" t="s">
        <v>473</v>
      </c>
      <c r="F280" s="23" t="s">
        <v>475</v>
      </c>
      <c r="G280" s="23" t="s">
        <v>477</v>
      </c>
      <c r="H280" s="23" t="s">
        <v>483</v>
      </c>
      <c r="I280" s="23" t="s">
        <v>482</v>
      </c>
      <c r="J280" s="23" t="s">
        <v>1872</v>
      </c>
      <c r="K280" s="23" t="s">
        <v>1876</v>
      </c>
      <c r="L280" s="23" t="s">
        <v>1271</v>
      </c>
      <c r="M280" s="23" t="s">
        <v>878</v>
      </c>
      <c r="N280" s="23" t="s">
        <v>111</v>
      </c>
      <c r="O280" s="23">
        <v>125000</v>
      </c>
      <c r="P280" s="29" t="s">
        <v>879</v>
      </c>
      <c r="Q280" s="23" t="s">
        <v>1877</v>
      </c>
      <c r="R280" s="23"/>
      <c r="S280" s="23" t="s">
        <v>1869</v>
      </c>
    </row>
    <row r="281" spans="1:19" ht="43.2" x14ac:dyDescent="0.3">
      <c r="A281" s="23" t="s">
        <v>1878</v>
      </c>
      <c r="B281" s="23" t="s">
        <v>469</v>
      </c>
      <c r="C281" s="23" t="s">
        <v>470</v>
      </c>
      <c r="D281" s="23" t="s">
        <v>1866</v>
      </c>
      <c r="E281" s="23" t="s">
        <v>473</v>
      </c>
      <c r="F281" s="23" t="s">
        <v>475</v>
      </c>
      <c r="G281" s="23" t="s">
        <v>477</v>
      </c>
      <c r="H281" s="23" t="s">
        <v>483</v>
      </c>
      <c r="I281" s="23" t="s">
        <v>482</v>
      </c>
      <c r="J281" s="23" t="s">
        <v>1271</v>
      </c>
      <c r="K281" s="23" t="s">
        <v>1271</v>
      </c>
      <c r="L281" s="23" t="s">
        <v>1879</v>
      </c>
      <c r="M281" s="23" t="s">
        <v>1880</v>
      </c>
      <c r="N281" s="23" t="s">
        <v>219</v>
      </c>
      <c r="O281" s="23">
        <v>75000</v>
      </c>
      <c r="P281" s="29" t="s">
        <v>879</v>
      </c>
      <c r="Q281" s="23" t="s">
        <v>1881</v>
      </c>
      <c r="R281" s="23"/>
      <c r="S281" s="23" t="s">
        <v>1882</v>
      </c>
    </row>
    <row r="282" spans="1:19" ht="43.2" x14ac:dyDescent="0.3">
      <c r="A282" s="23" t="s">
        <v>1883</v>
      </c>
      <c r="B282" s="23" t="s">
        <v>469</v>
      </c>
      <c r="C282" s="23" t="s">
        <v>470</v>
      </c>
      <c r="D282" s="23" t="s">
        <v>1866</v>
      </c>
      <c r="E282" s="23" t="s">
        <v>473</v>
      </c>
      <c r="F282" s="23" t="s">
        <v>475</v>
      </c>
      <c r="G282" s="23" t="s">
        <v>477</v>
      </c>
      <c r="H282" s="23" t="s">
        <v>483</v>
      </c>
      <c r="I282" s="23" t="s">
        <v>482</v>
      </c>
      <c r="J282" s="23" t="s">
        <v>1879</v>
      </c>
      <c r="K282" s="23" t="s">
        <v>1879</v>
      </c>
      <c r="L282" s="23" t="s">
        <v>1884</v>
      </c>
      <c r="M282" s="23" t="s">
        <v>1880</v>
      </c>
      <c r="N282" s="23" t="s">
        <v>920</v>
      </c>
      <c r="O282" s="23">
        <v>100000</v>
      </c>
      <c r="P282" s="29" t="s">
        <v>879</v>
      </c>
      <c r="Q282" s="23" t="s">
        <v>1885</v>
      </c>
      <c r="R282" s="23"/>
      <c r="S282" s="23" t="s">
        <v>1869</v>
      </c>
    </row>
    <row r="283" spans="1:19" ht="43.2" x14ac:dyDescent="0.3">
      <c r="A283" s="23" t="s">
        <v>1886</v>
      </c>
      <c r="B283" s="23" t="s">
        <v>469</v>
      </c>
      <c r="C283" s="23" t="s">
        <v>470</v>
      </c>
      <c r="D283" s="23" t="s">
        <v>1866</v>
      </c>
      <c r="E283" s="23" t="s">
        <v>473</v>
      </c>
      <c r="F283" s="23" t="s">
        <v>475</v>
      </c>
      <c r="G283" s="23" t="s">
        <v>477</v>
      </c>
      <c r="H283" s="23" t="s">
        <v>483</v>
      </c>
      <c r="I283" s="23" t="s">
        <v>482</v>
      </c>
      <c r="J283" s="23" t="s">
        <v>1275</v>
      </c>
      <c r="K283" s="23" t="s">
        <v>1275</v>
      </c>
      <c r="L283" s="23" t="s">
        <v>1887</v>
      </c>
      <c r="M283" s="23" t="s">
        <v>1888</v>
      </c>
      <c r="N283" s="23" t="s">
        <v>131</v>
      </c>
      <c r="O283" s="23">
        <v>150000</v>
      </c>
      <c r="P283" s="29" t="s">
        <v>879</v>
      </c>
      <c r="Q283" s="23" t="s">
        <v>1889</v>
      </c>
      <c r="R283" s="23"/>
      <c r="S283" s="23" t="s">
        <v>1874</v>
      </c>
    </row>
    <row r="284" spans="1:19" ht="43.2" x14ac:dyDescent="0.3">
      <c r="A284" s="23" t="s">
        <v>1890</v>
      </c>
      <c r="B284" s="23" t="s">
        <v>469</v>
      </c>
      <c r="C284" s="23" t="s">
        <v>470</v>
      </c>
      <c r="D284" s="23" t="s">
        <v>1866</v>
      </c>
      <c r="E284" s="23" t="s">
        <v>473</v>
      </c>
      <c r="F284" s="23" t="s">
        <v>475</v>
      </c>
      <c r="G284" s="23" t="s">
        <v>477</v>
      </c>
      <c r="H284" s="23" t="s">
        <v>483</v>
      </c>
      <c r="I284" s="23" t="s">
        <v>482</v>
      </c>
      <c r="J284" s="23" t="s">
        <v>1887</v>
      </c>
      <c r="K284" s="23" t="s">
        <v>1891</v>
      </c>
      <c r="L284" s="23" t="s">
        <v>1821</v>
      </c>
      <c r="M284" s="23" t="s">
        <v>138</v>
      </c>
      <c r="N284" s="23" t="s">
        <v>896</v>
      </c>
      <c r="O284" s="23">
        <v>125000</v>
      </c>
      <c r="P284" s="29" t="s">
        <v>879</v>
      </c>
      <c r="Q284" s="23" t="s">
        <v>1892</v>
      </c>
      <c r="R284" s="23"/>
      <c r="S284" s="23" t="s">
        <v>1882</v>
      </c>
    </row>
    <row r="285" spans="1:19" ht="43.2" x14ac:dyDescent="0.3">
      <c r="A285" s="23" t="s">
        <v>1893</v>
      </c>
      <c r="B285" s="23" t="s">
        <v>469</v>
      </c>
      <c r="C285" s="23" t="s">
        <v>470</v>
      </c>
      <c r="D285" s="23" t="s">
        <v>1866</v>
      </c>
      <c r="E285" s="23" t="s">
        <v>473</v>
      </c>
      <c r="F285" s="23" t="s">
        <v>475</v>
      </c>
      <c r="G285" s="23" t="s">
        <v>477</v>
      </c>
      <c r="H285" s="23" t="s">
        <v>483</v>
      </c>
      <c r="I285" s="23" t="s">
        <v>482</v>
      </c>
      <c r="J285" s="23" t="s">
        <v>1279</v>
      </c>
      <c r="K285" s="23" t="s">
        <v>228</v>
      </c>
      <c r="L285" s="23" t="s">
        <v>1894</v>
      </c>
      <c r="M285" s="23" t="s">
        <v>138</v>
      </c>
      <c r="N285" s="23" t="s">
        <v>929</v>
      </c>
      <c r="O285" s="23">
        <v>100000</v>
      </c>
      <c r="P285" s="29" t="s">
        <v>879</v>
      </c>
      <c r="Q285" s="23" t="s">
        <v>1895</v>
      </c>
      <c r="R285" s="23" t="s">
        <v>1584</v>
      </c>
      <c r="S285" s="23" t="s">
        <v>1882</v>
      </c>
    </row>
    <row r="286" spans="1:19" ht="43.2" x14ac:dyDescent="0.3">
      <c r="A286" s="23" t="s">
        <v>1896</v>
      </c>
      <c r="B286" s="23" t="s">
        <v>469</v>
      </c>
      <c r="C286" s="23" t="s">
        <v>470</v>
      </c>
      <c r="D286" s="23" t="s">
        <v>1866</v>
      </c>
      <c r="E286" s="23" t="s">
        <v>473</v>
      </c>
      <c r="F286" s="23" t="s">
        <v>475</v>
      </c>
      <c r="G286" s="23" t="s">
        <v>477</v>
      </c>
      <c r="H286" s="23" t="s">
        <v>483</v>
      </c>
      <c r="I286" s="23" t="s">
        <v>482</v>
      </c>
      <c r="J286" s="23" t="s">
        <v>1894</v>
      </c>
      <c r="K286" s="23" t="s">
        <v>1897</v>
      </c>
      <c r="L286" s="23" t="s">
        <v>1898</v>
      </c>
      <c r="M286" s="23" t="s">
        <v>138</v>
      </c>
      <c r="N286" s="23" t="s">
        <v>920</v>
      </c>
      <c r="O286" s="23">
        <v>150000</v>
      </c>
      <c r="P286" s="29" t="s">
        <v>879</v>
      </c>
      <c r="Q286" s="23" t="s">
        <v>1899</v>
      </c>
      <c r="R286" s="23"/>
      <c r="S286" s="23" t="s">
        <v>1900</v>
      </c>
    </row>
    <row r="287" spans="1:19" ht="43.2" x14ac:dyDescent="0.3">
      <c r="A287" s="23" t="s">
        <v>1901</v>
      </c>
      <c r="B287" s="23" t="s">
        <v>469</v>
      </c>
      <c r="C287" s="23" t="s">
        <v>470</v>
      </c>
      <c r="D287" s="23" t="s">
        <v>1866</v>
      </c>
      <c r="E287" s="23" t="s">
        <v>473</v>
      </c>
      <c r="F287" s="23" t="s">
        <v>475</v>
      </c>
      <c r="G287" s="23" t="s">
        <v>477</v>
      </c>
      <c r="H287" s="23" t="s">
        <v>483</v>
      </c>
      <c r="I287" s="23" t="s">
        <v>482</v>
      </c>
      <c r="J287" s="23" t="s">
        <v>1898</v>
      </c>
      <c r="K287" s="23" t="s">
        <v>1902</v>
      </c>
      <c r="L287" s="23" t="s">
        <v>1282</v>
      </c>
      <c r="M287" s="23" t="s">
        <v>1888</v>
      </c>
      <c r="N287" s="23" t="s">
        <v>920</v>
      </c>
      <c r="O287" s="23">
        <v>150000</v>
      </c>
      <c r="P287" s="29" t="s">
        <v>879</v>
      </c>
      <c r="Q287" s="23" t="s">
        <v>1903</v>
      </c>
      <c r="R287" s="23"/>
      <c r="S287" s="23" t="s">
        <v>1874</v>
      </c>
    </row>
    <row r="288" spans="1:19" ht="43.2" x14ac:dyDescent="0.3">
      <c r="A288" s="23" t="s">
        <v>1904</v>
      </c>
      <c r="B288" s="23" t="s">
        <v>469</v>
      </c>
      <c r="C288" s="23" t="s">
        <v>470</v>
      </c>
      <c r="D288" s="23" t="s">
        <v>1866</v>
      </c>
      <c r="E288" s="23" t="s">
        <v>473</v>
      </c>
      <c r="F288" s="23" t="s">
        <v>475</v>
      </c>
      <c r="G288" s="23" t="s">
        <v>477</v>
      </c>
      <c r="H288" s="23" t="s">
        <v>483</v>
      </c>
      <c r="I288" s="23" t="s">
        <v>482</v>
      </c>
      <c r="J288" s="23" t="s">
        <v>1905</v>
      </c>
      <c r="K288" s="23" t="s">
        <v>1906</v>
      </c>
      <c r="L288" s="23" t="s">
        <v>1907</v>
      </c>
      <c r="M288" s="23" t="s">
        <v>878</v>
      </c>
      <c r="N288" s="23" t="s">
        <v>131</v>
      </c>
      <c r="O288" s="23">
        <v>150000</v>
      </c>
      <c r="P288" s="29" t="s">
        <v>879</v>
      </c>
      <c r="Q288" s="23" t="s">
        <v>1908</v>
      </c>
      <c r="R288" s="23"/>
      <c r="S288" s="23" t="s">
        <v>1900</v>
      </c>
    </row>
    <row r="289" spans="1:19" ht="43.2" x14ac:dyDescent="0.3">
      <c r="A289" s="23" t="s">
        <v>1909</v>
      </c>
      <c r="B289" s="23" t="s">
        <v>469</v>
      </c>
      <c r="C289" s="23" t="s">
        <v>470</v>
      </c>
      <c r="D289" s="23" t="s">
        <v>1866</v>
      </c>
      <c r="E289" s="23" t="s">
        <v>473</v>
      </c>
      <c r="F289" s="23" t="s">
        <v>475</v>
      </c>
      <c r="G289" s="23" t="s">
        <v>477</v>
      </c>
      <c r="H289" s="23" t="s">
        <v>483</v>
      </c>
      <c r="I289" s="23" t="s">
        <v>482</v>
      </c>
      <c r="J289" s="23" t="s">
        <v>1907</v>
      </c>
      <c r="K289" s="23" t="s">
        <v>1910</v>
      </c>
      <c r="L289" s="23" t="s">
        <v>1284</v>
      </c>
      <c r="M289" s="23" t="s">
        <v>1880</v>
      </c>
      <c r="N289" s="23" t="s">
        <v>896</v>
      </c>
      <c r="O289" s="23">
        <v>75000</v>
      </c>
      <c r="P289" s="29" t="s">
        <v>879</v>
      </c>
      <c r="Q289" s="23" t="s">
        <v>1911</v>
      </c>
      <c r="R289" s="23"/>
      <c r="S289" s="23" t="s">
        <v>1912</v>
      </c>
    </row>
    <row r="290" spans="1:19" ht="43.2" x14ac:dyDescent="0.3">
      <c r="A290" s="23" t="s">
        <v>1913</v>
      </c>
      <c r="B290" s="23" t="s">
        <v>469</v>
      </c>
      <c r="C290" s="23" t="s">
        <v>470</v>
      </c>
      <c r="D290" s="23" t="s">
        <v>1866</v>
      </c>
      <c r="E290" s="23" t="s">
        <v>473</v>
      </c>
      <c r="F290" s="23" t="s">
        <v>475</v>
      </c>
      <c r="G290" s="23" t="s">
        <v>477</v>
      </c>
      <c r="H290" s="23" t="s">
        <v>483</v>
      </c>
      <c r="I290" s="23" t="s">
        <v>482</v>
      </c>
      <c r="J290" s="23" t="s">
        <v>1284</v>
      </c>
      <c r="K290" s="23" t="s">
        <v>1914</v>
      </c>
      <c r="L290" s="23" t="s">
        <v>1915</v>
      </c>
      <c r="M290" s="23" t="s">
        <v>1880</v>
      </c>
      <c r="N290" s="23" t="s">
        <v>111</v>
      </c>
      <c r="O290" s="23">
        <v>100000</v>
      </c>
      <c r="P290" s="29" t="s">
        <v>879</v>
      </c>
      <c r="Q290" s="23" t="s">
        <v>1916</v>
      </c>
      <c r="R290" s="23"/>
      <c r="S290" s="23" t="s">
        <v>1917</v>
      </c>
    </row>
    <row r="291" spans="1:19" ht="43.2" x14ac:dyDescent="0.3">
      <c r="A291" s="23" t="s">
        <v>1918</v>
      </c>
      <c r="B291" s="23" t="s">
        <v>469</v>
      </c>
      <c r="C291" s="23" t="s">
        <v>470</v>
      </c>
      <c r="D291" s="23" t="s">
        <v>1866</v>
      </c>
      <c r="E291" s="23" t="s">
        <v>473</v>
      </c>
      <c r="F291" s="23" t="s">
        <v>475</v>
      </c>
      <c r="G291" s="23" t="s">
        <v>477</v>
      </c>
      <c r="H291" s="23" t="s">
        <v>483</v>
      </c>
      <c r="I291" s="23" t="s">
        <v>482</v>
      </c>
      <c r="J291" s="23" t="s">
        <v>1915</v>
      </c>
      <c r="K291" s="23" t="s">
        <v>1919</v>
      </c>
      <c r="L291" s="23" t="s">
        <v>1920</v>
      </c>
      <c r="M291" s="23" t="s">
        <v>878</v>
      </c>
      <c r="N291" s="23" t="s">
        <v>111</v>
      </c>
      <c r="O291" s="23">
        <v>150000</v>
      </c>
      <c r="P291" s="29" t="s">
        <v>879</v>
      </c>
      <c r="Q291" s="23" t="s">
        <v>1921</v>
      </c>
      <c r="R291" s="23"/>
      <c r="S291" s="23" t="s">
        <v>1917</v>
      </c>
    </row>
    <row r="292" spans="1:19" ht="43.2" x14ac:dyDescent="0.3">
      <c r="A292" s="23" t="s">
        <v>1922</v>
      </c>
      <c r="B292" s="23" t="s">
        <v>469</v>
      </c>
      <c r="C292" s="23" t="s">
        <v>470</v>
      </c>
      <c r="D292" s="23" t="s">
        <v>1866</v>
      </c>
      <c r="E292" s="23" t="s">
        <v>473</v>
      </c>
      <c r="F292" s="23" t="s">
        <v>475</v>
      </c>
      <c r="G292" s="23" t="s">
        <v>477</v>
      </c>
      <c r="H292" s="23" t="s">
        <v>483</v>
      </c>
      <c r="I292" s="23" t="s">
        <v>482</v>
      </c>
      <c r="J292" s="23" t="s">
        <v>1920</v>
      </c>
      <c r="K292" s="23" t="s">
        <v>506</v>
      </c>
      <c r="L292" s="23" t="s">
        <v>218</v>
      </c>
      <c r="M292" s="23" t="s">
        <v>138</v>
      </c>
      <c r="N292" s="23" t="s">
        <v>896</v>
      </c>
      <c r="O292" s="23">
        <v>125000</v>
      </c>
      <c r="P292" s="29" t="s">
        <v>879</v>
      </c>
      <c r="Q292" s="23" t="s">
        <v>1923</v>
      </c>
      <c r="R292" s="23"/>
      <c r="S292" s="23" t="s">
        <v>1869</v>
      </c>
    </row>
    <row r="293" spans="1:19" ht="43.2" x14ac:dyDescent="0.3">
      <c r="A293" s="23" t="s">
        <v>1924</v>
      </c>
      <c r="B293" s="23" t="s">
        <v>469</v>
      </c>
      <c r="C293" s="23" t="s">
        <v>470</v>
      </c>
      <c r="D293" s="23" t="s">
        <v>1866</v>
      </c>
      <c r="E293" s="23" t="s">
        <v>473</v>
      </c>
      <c r="F293" s="23" t="s">
        <v>475</v>
      </c>
      <c r="G293" s="23" t="s">
        <v>477</v>
      </c>
      <c r="H293" s="23" t="s">
        <v>483</v>
      </c>
      <c r="I293" s="23" t="s">
        <v>482</v>
      </c>
      <c r="J293" s="23" t="s">
        <v>418</v>
      </c>
      <c r="K293" s="23" t="s">
        <v>418</v>
      </c>
      <c r="L293" s="23" t="s">
        <v>481</v>
      </c>
      <c r="M293" s="23" t="s">
        <v>1880</v>
      </c>
      <c r="N293" s="23" t="s">
        <v>896</v>
      </c>
      <c r="O293" s="23">
        <v>100000</v>
      </c>
      <c r="P293" s="29" t="s">
        <v>879</v>
      </c>
      <c r="Q293" s="23" t="s">
        <v>1925</v>
      </c>
      <c r="R293" s="23"/>
      <c r="S293" s="23" t="s">
        <v>1917</v>
      </c>
    </row>
    <row r="294" spans="1:19" ht="43.2" x14ac:dyDescent="0.3">
      <c r="A294" s="23" t="s">
        <v>1926</v>
      </c>
      <c r="B294" s="23" t="s">
        <v>469</v>
      </c>
      <c r="C294" s="23" t="s">
        <v>470</v>
      </c>
      <c r="D294" s="23" t="s">
        <v>1866</v>
      </c>
      <c r="E294" s="23" t="s">
        <v>473</v>
      </c>
      <c r="F294" s="23" t="s">
        <v>475</v>
      </c>
      <c r="G294" s="23" t="s">
        <v>477</v>
      </c>
      <c r="H294" s="23" t="s">
        <v>483</v>
      </c>
      <c r="I294" s="23" t="s">
        <v>482</v>
      </c>
      <c r="J294" s="23" t="s">
        <v>481</v>
      </c>
      <c r="K294" s="23" t="s">
        <v>481</v>
      </c>
      <c r="L294" s="23" t="s">
        <v>197</v>
      </c>
      <c r="M294" s="23" t="s">
        <v>878</v>
      </c>
      <c r="N294" s="23" t="s">
        <v>131</v>
      </c>
      <c r="O294" s="23">
        <v>75000</v>
      </c>
      <c r="P294" s="32" t="s">
        <v>1831</v>
      </c>
      <c r="Q294" s="23" t="s">
        <v>1927</v>
      </c>
      <c r="R294" s="23"/>
      <c r="S294" s="23" t="s">
        <v>1928</v>
      </c>
    </row>
    <row r="295" spans="1:19" ht="43.2" x14ac:dyDescent="0.3">
      <c r="A295" s="23" t="s">
        <v>1929</v>
      </c>
      <c r="B295" s="23" t="s">
        <v>487</v>
      </c>
      <c r="C295" s="23" t="s">
        <v>470</v>
      </c>
      <c r="D295" s="23" t="s">
        <v>1930</v>
      </c>
      <c r="E295" s="23" t="s">
        <v>489</v>
      </c>
      <c r="F295" s="23" t="s">
        <v>475</v>
      </c>
      <c r="G295" s="23" t="s">
        <v>477</v>
      </c>
      <c r="H295" s="23" t="s">
        <v>483</v>
      </c>
      <c r="I295" s="23" t="s">
        <v>482</v>
      </c>
      <c r="J295" s="23" t="s">
        <v>1931</v>
      </c>
      <c r="K295" s="23" t="s">
        <v>139</v>
      </c>
      <c r="L295" s="23" t="s">
        <v>1932</v>
      </c>
      <c r="M295" s="23" t="s">
        <v>1880</v>
      </c>
      <c r="N295" s="23" t="s">
        <v>920</v>
      </c>
      <c r="O295" s="23">
        <v>75000</v>
      </c>
      <c r="P295" s="29" t="s">
        <v>879</v>
      </c>
      <c r="Q295" s="23" t="s">
        <v>1933</v>
      </c>
      <c r="R295" s="23"/>
      <c r="S295" s="23" t="s">
        <v>1882</v>
      </c>
    </row>
    <row r="296" spans="1:19" ht="43.2" x14ac:dyDescent="0.3">
      <c r="A296" s="23" t="s">
        <v>1934</v>
      </c>
      <c r="B296" s="23" t="s">
        <v>487</v>
      </c>
      <c r="C296" s="23" t="s">
        <v>470</v>
      </c>
      <c r="D296" s="23" t="s">
        <v>1930</v>
      </c>
      <c r="E296" s="23" t="s">
        <v>489</v>
      </c>
      <c r="F296" s="23" t="s">
        <v>475</v>
      </c>
      <c r="G296" s="23" t="s">
        <v>477</v>
      </c>
      <c r="H296" s="23" t="s">
        <v>483</v>
      </c>
      <c r="I296" s="23" t="s">
        <v>482</v>
      </c>
      <c r="J296" s="23" t="s">
        <v>1932</v>
      </c>
      <c r="K296" s="23" t="s">
        <v>1935</v>
      </c>
      <c r="L296" s="23" t="s">
        <v>1936</v>
      </c>
      <c r="M296" s="23" t="s">
        <v>1880</v>
      </c>
      <c r="N296" s="23" t="s">
        <v>219</v>
      </c>
      <c r="O296" s="23">
        <v>100000</v>
      </c>
      <c r="P296" s="29" t="s">
        <v>879</v>
      </c>
      <c r="Q296" s="23" t="s">
        <v>1937</v>
      </c>
      <c r="R296" s="23"/>
      <c r="S296" s="23" t="s">
        <v>1882</v>
      </c>
    </row>
    <row r="297" spans="1:19" ht="43.2" x14ac:dyDescent="0.3">
      <c r="A297" s="23" t="s">
        <v>1938</v>
      </c>
      <c r="B297" s="23" t="s">
        <v>487</v>
      </c>
      <c r="C297" s="23" t="s">
        <v>470</v>
      </c>
      <c r="D297" s="23" t="s">
        <v>1930</v>
      </c>
      <c r="E297" s="23" t="s">
        <v>489</v>
      </c>
      <c r="F297" s="23" t="s">
        <v>475</v>
      </c>
      <c r="G297" s="23" t="s">
        <v>477</v>
      </c>
      <c r="H297" s="23" t="s">
        <v>483</v>
      </c>
      <c r="I297" s="23" t="s">
        <v>482</v>
      </c>
      <c r="J297" s="23" t="s">
        <v>1936</v>
      </c>
      <c r="K297" s="23" t="s">
        <v>1936</v>
      </c>
      <c r="L297" s="23" t="s">
        <v>1939</v>
      </c>
      <c r="M297" s="23" t="s">
        <v>1880</v>
      </c>
      <c r="N297" s="23" t="s">
        <v>920</v>
      </c>
      <c r="O297" s="23">
        <v>75000</v>
      </c>
      <c r="P297" s="29" t="s">
        <v>879</v>
      </c>
      <c r="Q297" s="23" t="s">
        <v>1940</v>
      </c>
      <c r="R297" s="23"/>
      <c r="S297" s="23" t="s">
        <v>1869</v>
      </c>
    </row>
    <row r="298" spans="1:19" ht="43.2" x14ac:dyDescent="0.3">
      <c r="A298" s="23" t="s">
        <v>1941</v>
      </c>
      <c r="B298" s="23" t="s">
        <v>487</v>
      </c>
      <c r="C298" s="23" t="s">
        <v>470</v>
      </c>
      <c r="D298" s="23" t="s">
        <v>1930</v>
      </c>
      <c r="E298" s="23" t="s">
        <v>489</v>
      </c>
      <c r="F298" s="23" t="s">
        <v>475</v>
      </c>
      <c r="G298" s="23" t="s">
        <v>477</v>
      </c>
      <c r="H298" s="23" t="s">
        <v>483</v>
      </c>
      <c r="I298" s="23" t="s">
        <v>482</v>
      </c>
      <c r="J298" s="23" t="s">
        <v>1939</v>
      </c>
      <c r="K298" s="23" t="s">
        <v>1942</v>
      </c>
      <c r="L298" s="23" t="s">
        <v>1943</v>
      </c>
      <c r="M298" s="23" t="s">
        <v>1880</v>
      </c>
      <c r="N298" s="23" t="s">
        <v>219</v>
      </c>
      <c r="O298" s="23">
        <v>125000</v>
      </c>
      <c r="P298" s="29" t="s">
        <v>879</v>
      </c>
      <c r="Q298" s="23" t="s">
        <v>1944</v>
      </c>
      <c r="R298" s="23"/>
      <c r="S298" s="23" t="s">
        <v>1900</v>
      </c>
    </row>
    <row r="299" spans="1:19" ht="43.2" x14ac:dyDescent="0.3">
      <c r="A299" s="23" t="s">
        <v>1945</v>
      </c>
      <c r="B299" s="23" t="s">
        <v>487</v>
      </c>
      <c r="C299" s="23" t="s">
        <v>470</v>
      </c>
      <c r="D299" s="23" t="s">
        <v>1930</v>
      </c>
      <c r="E299" s="23" t="s">
        <v>489</v>
      </c>
      <c r="F299" s="23" t="s">
        <v>475</v>
      </c>
      <c r="G299" s="23" t="s">
        <v>477</v>
      </c>
      <c r="H299" s="23" t="s">
        <v>483</v>
      </c>
      <c r="I299" s="23" t="s">
        <v>482</v>
      </c>
      <c r="J299" s="23" t="s">
        <v>1943</v>
      </c>
      <c r="K299" s="23" t="s">
        <v>1025</v>
      </c>
      <c r="L299" s="23" t="s">
        <v>1946</v>
      </c>
      <c r="M299" s="23" t="s">
        <v>1888</v>
      </c>
      <c r="N299" s="23" t="s">
        <v>168</v>
      </c>
      <c r="O299" s="23">
        <v>100000</v>
      </c>
      <c r="P299" s="29" t="s">
        <v>879</v>
      </c>
      <c r="Q299" s="23" t="s">
        <v>1947</v>
      </c>
      <c r="R299" s="23"/>
      <c r="S299" s="23" t="s">
        <v>1874</v>
      </c>
    </row>
    <row r="300" spans="1:19" ht="43.2" x14ac:dyDescent="0.3">
      <c r="A300" s="23" t="s">
        <v>1948</v>
      </c>
      <c r="B300" s="23" t="s">
        <v>487</v>
      </c>
      <c r="C300" s="23" t="s">
        <v>470</v>
      </c>
      <c r="D300" s="23" t="s">
        <v>1930</v>
      </c>
      <c r="E300" s="23" t="s">
        <v>489</v>
      </c>
      <c r="F300" s="23" t="s">
        <v>475</v>
      </c>
      <c r="G300" s="23" t="s">
        <v>477</v>
      </c>
      <c r="H300" s="23" t="s">
        <v>483</v>
      </c>
      <c r="I300" s="23" t="s">
        <v>482</v>
      </c>
      <c r="J300" s="23" t="s">
        <v>1946</v>
      </c>
      <c r="K300" s="23" t="s">
        <v>1949</v>
      </c>
      <c r="L300" s="23" t="s">
        <v>596</v>
      </c>
      <c r="M300" s="23" t="s">
        <v>878</v>
      </c>
      <c r="N300" s="23" t="s">
        <v>131</v>
      </c>
      <c r="O300" s="23">
        <v>125000</v>
      </c>
      <c r="P300" s="29" t="s">
        <v>879</v>
      </c>
      <c r="Q300" s="23" t="s">
        <v>1950</v>
      </c>
      <c r="R300" s="23"/>
      <c r="S300" s="23" t="s">
        <v>1869</v>
      </c>
    </row>
    <row r="301" spans="1:19" ht="43.2" x14ac:dyDescent="0.3">
      <c r="A301" s="23" t="s">
        <v>1951</v>
      </c>
      <c r="B301" s="23" t="s">
        <v>487</v>
      </c>
      <c r="C301" s="23" t="s">
        <v>470</v>
      </c>
      <c r="D301" s="23" t="s">
        <v>1930</v>
      </c>
      <c r="E301" s="23" t="s">
        <v>489</v>
      </c>
      <c r="F301" s="23" t="s">
        <v>475</v>
      </c>
      <c r="G301" s="23" t="s">
        <v>477</v>
      </c>
      <c r="H301" s="23" t="s">
        <v>483</v>
      </c>
      <c r="I301" s="23" t="s">
        <v>482</v>
      </c>
      <c r="J301" s="23" t="s">
        <v>596</v>
      </c>
      <c r="K301" s="23" t="s">
        <v>1952</v>
      </c>
      <c r="L301" s="23" t="s">
        <v>1953</v>
      </c>
      <c r="M301" s="23" t="s">
        <v>138</v>
      </c>
      <c r="N301" s="23" t="s">
        <v>219</v>
      </c>
      <c r="O301" s="23">
        <v>75000</v>
      </c>
      <c r="P301" s="29" t="s">
        <v>879</v>
      </c>
      <c r="Q301" s="23" t="s">
        <v>1954</v>
      </c>
      <c r="R301" s="23"/>
      <c r="S301" s="23" t="s">
        <v>1900</v>
      </c>
    </row>
    <row r="302" spans="1:19" ht="43.2" x14ac:dyDescent="0.3">
      <c r="A302" s="23" t="s">
        <v>1955</v>
      </c>
      <c r="B302" s="23" t="s">
        <v>487</v>
      </c>
      <c r="C302" s="23" t="s">
        <v>470</v>
      </c>
      <c r="D302" s="23" t="s">
        <v>1930</v>
      </c>
      <c r="E302" s="23" t="s">
        <v>489</v>
      </c>
      <c r="F302" s="23" t="s">
        <v>475</v>
      </c>
      <c r="G302" s="23" t="s">
        <v>477</v>
      </c>
      <c r="H302" s="23" t="s">
        <v>483</v>
      </c>
      <c r="I302" s="23" t="s">
        <v>482</v>
      </c>
      <c r="J302" s="23" t="s">
        <v>1953</v>
      </c>
      <c r="K302" s="23" t="s">
        <v>1956</v>
      </c>
      <c r="L302" s="23" t="s">
        <v>1957</v>
      </c>
      <c r="M302" s="23" t="s">
        <v>878</v>
      </c>
      <c r="N302" s="23" t="s">
        <v>219</v>
      </c>
      <c r="O302" s="23">
        <v>125000</v>
      </c>
      <c r="P302" s="29" t="s">
        <v>879</v>
      </c>
      <c r="Q302" s="23" t="s">
        <v>1958</v>
      </c>
      <c r="R302" s="23"/>
      <c r="S302" s="23" t="s">
        <v>1882</v>
      </c>
    </row>
    <row r="303" spans="1:19" ht="43.2" x14ac:dyDescent="0.3">
      <c r="A303" s="23" t="s">
        <v>1959</v>
      </c>
      <c r="B303" s="23" t="s">
        <v>487</v>
      </c>
      <c r="C303" s="23" t="s">
        <v>470</v>
      </c>
      <c r="D303" s="23" t="s">
        <v>1930</v>
      </c>
      <c r="E303" s="23" t="s">
        <v>489</v>
      </c>
      <c r="F303" s="23" t="s">
        <v>475</v>
      </c>
      <c r="G303" s="23" t="s">
        <v>477</v>
      </c>
      <c r="H303" s="23" t="s">
        <v>483</v>
      </c>
      <c r="I303" s="23" t="s">
        <v>482</v>
      </c>
      <c r="J303" s="23" t="s">
        <v>1957</v>
      </c>
      <c r="K303" s="23" t="s">
        <v>1960</v>
      </c>
      <c r="L303" s="23" t="s">
        <v>1961</v>
      </c>
      <c r="M303" s="23" t="s">
        <v>878</v>
      </c>
      <c r="N303" s="23" t="s">
        <v>219</v>
      </c>
      <c r="O303" s="23">
        <v>150000</v>
      </c>
      <c r="P303" s="29" t="s">
        <v>879</v>
      </c>
      <c r="Q303" s="23" t="s">
        <v>1962</v>
      </c>
      <c r="R303" s="23"/>
      <c r="S303" s="23" t="s">
        <v>1912</v>
      </c>
    </row>
    <row r="304" spans="1:19" ht="43.2" x14ac:dyDescent="0.3">
      <c r="A304" s="23" t="s">
        <v>1963</v>
      </c>
      <c r="B304" s="23" t="s">
        <v>487</v>
      </c>
      <c r="C304" s="23" t="s">
        <v>470</v>
      </c>
      <c r="D304" s="23" t="s">
        <v>1930</v>
      </c>
      <c r="E304" s="23" t="s">
        <v>489</v>
      </c>
      <c r="F304" s="23" t="s">
        <v>475</v>
      </c>
      <c r="G304" s="23" t="s">
        <v>477</v>
      </c>
      <c r="H304" s="23" t="s">
        <v>483</v>
      </c>
      <c r="I304" s="23" t="s">
        <v>482</v>
      </c>
      <c r="J304" s="23" t="s">
        <v>1961</v>
      </c>
      <c r="K304" s="23" t="s">
        <v>901</v>
      </c>
      <c r="L304" s="23" t="s">
        <v>1546</v>
      </c>
      <c r="M304" s="23" t="s">
        <v>1880</v>
      </c>
      <c r="N304" s="23" t="s">
        <v>929</v>
      </c>
      <c r="O304" s="23">
        <v>75000</v>
      </c>
      <c r="P304" s="29" t="s">
        <v>879</v>
      </c>
      <c r="Q304" s="23" t="s">
        <v>1964</v>
      </c>
      <c r="R304" s="23"/>
      <c r="S304" s="23" t="s">
        <v>1882</v>
      </c>
    </row>
    <row r="305" spans="1:19" ht="43.2" x14ac:dyDescent="0.3">
      <c r="A305" s="23" t="s">
        <v>1965</v>
      </c>
      <c r="B305" s="23" t="s">
        <v>487</v>
      </c>
      <c r="C305" s="23" t="s">
        <v>470</v>
      </c>
      <c r="D305" s="23" t="s">
        <v>1930</v>
      </c>
      <c r="E305" s="23" t="s">
        <v>489</v>
      </c>
      <c r="F305" s="23" t="s">
        <v>475</v>
      </c>
      <c r="G305" s="23" t="s">
        <v>477</v>
      </c>
      <c r="H305" s="23" t="s">
        <v>483</v>
      </c>
      <c r="I305" s="23" t="s">
        <v>482</v>
      </c>
      <c r="J305" s="23" t="s">
        <v>1546</v>
      </c>
      <c r="K305" s="23" t="s">
        <v>1966</v>
      </c>
      <c r="L305" s="23" t="s">
        <v>1967</v>
      </c>
      <c r="M305" s="23" t="s">
        <v>878</v>
      </c>
      <c r="N305" s="23" t="s">
        <v>920</v>
      </c>
      <c r="O305" s="23">
        <v>125000</v>
      </c>
      <c r="P305" s="29" t="s">
        <v>879</v>
      </c>
      <c r="Q305" s="23" t="s">
        <v>1968</v>
      </c>
      <c r="R305" s="23" t="s">
        <v>1063</v>
      </c>
      <c r="S305" s="23" t="s">
        <v>1912</v>
      </c>
    </row>
    <row r="306" spans="1:19" ht="43.2" x14ac:dyDescent="0.3">
      <c r="A306" s="23" t="s">
        <v>1969</v>
      </c>
      <c r="B306" s="23" t="s">
        <v>487</v>
      </c>
      <c r="C306" s="23" t="s">
        <v>470</v>
      </c>
      <c r="D306" s="23" t="s">
        <v>1930</v>
      </c>
      <c r="E306" s="23" t="s">
        <v>489</v>
      </c>
      <c r="F306" s="23" t="s">
        <v>475</v>
      </c>
      <c r="G306" s="23" t="s">
        <v>477</v>
      </c>
      <c r="H306" s="23" t="s">
        <v>483</v>
      </c>
      <c r="I306" s="23" t="s">
        <v>482</v>
      </c>
      <c r="J306" s="23" t="s">
        <v>1967</v>
      </c>
      <c r="K306" s="23" t="s">
        <v>1970</v>
      </c>
      <c r="L306" s="23" t="s">
        <v>1971</v>
      </c>
      <c r="M306" s="23" t="s">
        <v>138</v>
      </c>
      <c r="N306" s="23" t="s">
        <v>131</v>
      </c>
      <c r="O306" s="23">
        <v>75000</v>
      </c>
      <c r="P306" s="29" t="s">
        <v>879</v>
      </c>
      <c r="Q306" s="23" t="s">
        <v>1972</v>
      </c>
      <c r="R306" s="23"/>
      <c r="S306" s="23" t="s">
        <v>1900</v>
      </c>
    </row>
    <row r="307" spans="1:19" ht="43.2" x14ac:dyDescent="0.3">
      <c r="A307" s="23" t="s">
        <v>1973</v>
      </c>
      <c r="B307" s="23" t="s">
        <v>487</v>
      </c>
      <c r="C307" s="23" t="s">
        <v>470</v>
      </c>
      <c r="D307" s="23" t="s">
        <v>1930</v>
      </c>
      <c r="E307" s="23" t="s">
        <v>489</v>
      </c>
      <c r="F307" s="23" t="s">
        <v>475</v>
      </c>
      <c r="G307" s="23" t="s">
        <v>477</v>
      </c>
      <c r="H307" s="23" t="s">
        <v>483</v>
      </c>
      <c r="I307" s="23" t="s">
        <v>482</v>
      </c>
      <c r="J307" s="23" t="s">
        <v>1971</v>
      </c>
      <c r="K307" s="23" t="s">
        <v>1974</v>
      </c>
      <c r="L307" s="23" t="s">
        <v>1548</v>
      </c>
      <c r="M307" s="23" t="s">
        <v>878</v>
      </c>
      <c r="N307" s="23" t="s">
        <v>131</v>
      </c>
      <c r="O307" s="23">
        <v>75000</v>
      </c>
      <c r="P307" s="29" t="s">
        <v>879</v>
      </c>
      <c r="Q307" s="23" t="s">
        <v>1975</v>
      </c>
      <c r="R307" s="23"/>
      <c r="S307" s="23" t="s">
        <v>1874</v>
      </c>
    </row>
    <row r="308" spans="1:19" ht="43.2" x14ac:dyDescent="0.3">
      <c r="A308" s="23" t="s">
        <v>1976</v>
      </c>
      <c r="B308" s="23" t="s">
        <v>487</v>
      </c>
      <c r="C308" s="23" t="s">
        <v>470</v>
      </c>
      <c r="D308" s="23" t="s">
        <v>1930</v>
      </c>
      <c r="E308" s="23" t="s">
        <v>489</v>
      </c>
      <c r="F308" s="23" t="s">
        <v>475</v>
      </c>
      <c r="G308" s="23" t="s">
        <v>477</v>
      </c>
      <c r="H308" s="23" t="s">
        <v>483</v>
      </c>
      <c r="I308" s="23" t="s">
        <v>482</v>
      </c>
      <c r="J308" s="23" t="s">
        <v>1548</v>
      </c>
      <c r="K308" s="23" t="s">
        <v>1551</v>
      </c>
      <c r="L308" s="23" t="s">
        <v>1977</v>
      </c>
      <c r="M308" s="23" t="s">
        <v>138</v>
      </c>
      <c r="N308" s="23" t="s">
        <v>111</v>
      </c>
      <c r="O308" s="23">
        <v>150000</v>
      </c>
      <c r="P308" s="29" t="s">
        <v>879</v>
      </c>
      <c r="Q308" s="23" t="s">
        <v>1978</v>
      </c>
      <c r="R308" s="23"/>
      <c r="S308" s="23" t="s">
        <v>1882</v>
      </c>
    </row>
    <row r="309" spans="1:19" ht="43.2" x14ac:dyDescent="0.3">
      <c r="A309" s="23" t="s">
        <v>1979</v>
      </c>
      <c r="B309" s="23" t="s">
        <v>487</v>
      </c>
      <c r="C309" s="23" t="s">
        <v>470</v>
      </c>
      <c r="D309" s="23" t="s">
        <v>1930</v>
      </c>
      <c r="E309" s="23" t="s">
        <v>489</v>
      </c>
      <c r="F309" s="23" t="s">
        <v>475</v>
      </c>
      <c r="G309" s="23" t="s">
        <v>477</v>
      </c>
      <c r="H309" s="23" t="s">
        <v>483</v>
      </c>
      <c r="I309" s="23" t="s">
        <v>482</v>
      </c>
      <c r="J309" s="23" t="s">
        <v>1977</v>
      </c>
      <c r="K309" s="23" t="s">
        <v>1980</v>
      </c>
      <c r="L309" s="23" t="s">
        <v>1981</v>
      </c>
      <c r="M309" s="23" t="s">
        <v>1888</v>
      </c>
      <c r="N309" s="23" t="s">
        <v>219</v>
      </c>
      <c r="O309" s="23">
        <v>100000</v>
      </c>
      <c r="P309" s="29" t="s">
        <v>879</v>
      </c>
      <c r="Q309" s="23" t="s">
        <v>1982</v>
      </c>
      <c r="R309" s="23"/>
      <c r="S309" s="23" t="s">
        <v>1900</v>
      </c>
    </row>
    <row r="310" spans="1:19" ht="43.2" x14ac:dyDescent="0.3">
      <c r="A310" s="23" t="s">
        <v>1983</v>
      </c>
      <c r="B310" s="23" t="s">
        <v>487</v>
      </c>
      <c r="C310" s="23" t="s">
        <v>470</v>
      </c>
      <c r="D310" s="23" t="s">
        <v>1930</v>
      </c>
      <c r="E310" s="23" t="s">
        <v>489</v>
      </c>
      <c r="F310" s="23" t="s">
        <v>475</v>
      </c>
      <c r="G310" s="23" t="s">
        <v>477</v>
      </c>
      <c r="H310" s="23" t="s">
        <v>483</v>
      </c>
      <c r="I310" s="23" t="s">
        <v>482</v>
      </c>
      <c r="J310" s="23" t="s">
        <v>1981</v>
      </c>
      <c r="K310" s="23" t="s">
        <v>1984</v>
      </c>
      <c r="L310" s="23" t="s">
        <v>1552</v>
      </c>
      <c r="M310" s="23" t="s">
        <v>1880</v>
      </c>
      <c r="N310" s="23" t="s">
        <v>896</v>
      </c>
      <c r="O310" s="23">
        <v>100000</v>
      </c>
      <c r="P310" s="29" t="s">
        <v>879</v>
      </c>
      <c r="Q310" s="23" t="s">
        <v>1985</v>
      </c>
      <c r="R310" s="23"/>
      <c r="S310" s="23" t="s">
        <v>1882</v>
      </c>
    </row>
    <row r="311" spans="1:19" ht="43.2" x14ac:dyDescent="0.3">
      <c r="A311" s="23" t="s">
        <v>1986</v>
      </c>
      <c r="B311" s="23" t="s">
        <v>487</v>
      </c>
      <c r="C311" s="23" t="s">
        <v>470</v>
      </c>
      <c r="D311" s="23" t="s">
        <v>1930</v>
      </c>
      <c r="E311" s="23" t="s">
        <v>489</v>
      </c>
      <c r="F311" s="23" t="s">
        <v>475</v>
      </c>
      <c r="G311" s="23" t="s">
        <v>477</v>
      </c>
      <c r="H311" s="23" t="s">
        <v>483</v>
      </c>
      <c r="I311" s="23" t="s">
        <v>482</v>
      </c>
      <c r="J311" s="23" t="s">
        <v>1552</v>
      </c>
      <c r="K311" s="23" t="s">
        <v>1043</v>
      </c>
      <c r="L311" s="23" t="s">
        <v>528</v>
      </c>
      <c r="M311" s="23" t="s">
        <v>138</v>
      </c>
      <c r="N311" s="23" t="s">
        <v>111</v>
      </c>
      <c r="O311" s="23">
        <v>100000</v>
      </c>
      <c r="P311" s="29" t="s">
        <v>879</v>
      </c>
      <c r="Q311" s="23" t="s">
        <v>1987</v>
      </c>
      <c r="R311" s="23" t="s">
        <v>1063</v>
      </c>
      <c r="S311" s="23" t="s">
        <v>1882</v>
      </c>
    </row>
    <row r="312" spans="1:19" ht="43.2" x14ac:dyDescent="0.3">
      <c r="A312" s="23" t="s">
        <v>1988</v>
      </c>
      <c r="B312" s="23" t="s">
        <v>487</v>
      </c>
      <c r="C312" s="23" t="s">
        <v>470</v>
      </c>
      <c r="D312" s="23" t="s">
        <v>1930</v>
      </c>
      <c r="E312" s="23" t="s">
        <v>489</v>
      </c>
      <c r="F312" s="23" t="s">
        <v>475</v>
      </c>
      <c r="G312" s="23" t="s">
        <v>477</v>
      </c>
      <c r="H312" s="23" t="s">
        <v>483</v>
      </c>
      <c r="I312" s="23" t="s">
        <v>482</v>
      </c>
      <c r="J312" s="23" t="s">
        <v>918</v>
      </c>
      <c r="K312" s="23" t="s">
        <v>1475</v>
      </c>
      <c r="L312" s="23" t="s">
        <v>1555</v>
      </c>
      <c r="M312" s="23" t="s">
        <v>878</v>
      </c>
      <c r="N312" s="23" t="s">
        <v>896</v>
      </c>
      <c r="O312" s="23">
        <v>125000</v>
      </c>
      <c r="P312" s="29" t="s">
        <v>879</v>
      </c>
      <c r="Q312" s="23" t="s">
        <v>1989</v>
      </c>
      <c r="R312" s="23"/>
      <c r="S312" s="23" t="s">
        <v>1882</v>
      </c>
    </row>
    <row r="313" spans="1:19" ht="43.2" x14ac:dyDescent="0.3">
      <c r="A313" s="23" t="s">
        <v>1990</v>
      </c>
      <c r="B313" s="23" t="s">
        <v>487</v>
      </c>
      <c r="C313" s="23" t="s">
        <v>470</v>
      </c>
      <c r="D313" s="23" t="s">
        <v>1930</v>
      </c>
      <c r="E313" s="23" t="s">
        <v>489</v>
      </c>
      <c r="F313" s="23" t="s">
        <v>475</v>
      </c>
      <c r="G313" s="23" t="s">
        <v>477</v>
      </c>
      <c r="H313" s="23" t="s">
        <v>483</v>
      </c>
      <c r="I313" s="23" t="s">
        <v>482</v>
      </c>
      <c r="J313" s="23" t="s">
        <v>1555</v>
      </c>
      <c r="K313" s="23" t="s">
        <v>1047</v>
      </c>
      <c r="L313" s="23" t="s">
        <v>1991</v>
      </c>
      <c r="M313" s="23" t="s">
        <v>1888</v>
      </c>
      <c r="N313" s="23" t="s">
        <v>920</v>
      </c>
      <c r="O313" s="23">
        <v>125000</v>
      </c>
      <c r="P313" s="29" t="s">
        <v>879</v>
      </c>
      <c r="Q313" s="23" t="s">
        <v>1992</v>
      </c>
      <c r="R313" s="23"/>
      <c r="S313" s="23" t="s">
        <v>1882</v>
      </c>
    </row>
    <row r="314" spans="1:19" ht="43.2" x14ac:dyDescent="0.3">
      <c r="A314" s="23" t="s">
        <v>1993</v>
      </c>
      <c r="B314" s="23" t="s">
        <v>487</v>
      </c>
      <c r="C314" s="23" t="s">
        <v>470</v>
      </c>
      <c r="D314" s="23" t="s">
        <v>1930</v>
      </c>
      <c r="E314" s="23" t="s">
        <v>489</v>
      </c>
      <c r="F314" s="23" t="s">
        <v>475</v>
      </c>
      <c r="G314" s="23" t="s">
        <v>477</v>
      </c>
      <c r="H314" s="23" t="s">
        <v>483</v>
      </c>
      <c r="I314" s="23" t="s">
        <v>482</v>
      </c>
      <c r="J314" s="23" t="s">
        <v>1994</v>
      </c>
      <c r="K314" s="23" t="s">
        <v>1995</v>
      </c>
      <c r="L314" s="23" t="s">
        <v>1557</v>
      </c>
      <c r="M314" s="23" t="s">
        <v>878</v>
      </c>
      <c r="N314" s="23" t="s">
        <v>920</v>
      </c>
      <c r="O314" s="23">
        <v>100000</v>
      </c>
      <c r="P314" s="29" t="s">
        <v>879</v>
      </c>
      <c r="Q314" s="23" t="s">
        <v>1996</v>
      </c>
      <c r="R314" s="23"/>
      <c r="S314" s="23" t="s">
        <v>1874</v>
      </c>
    </row>
    <row r="315" spans="1:19" ht="43.2" x14ac:dyDescent="0.3">
      <c r="A315" s="23" t="s">
        <v>1997</v>
      </c>
      <c r="B315" s="23" t="s">
        <v>487</v>
      </c>
      <c r="C315" s="23" t="s">
        <v>470</v>
      </c>
      <c r="D315" s="23" t="s">
        <v>1930</v>
      </c>
      <c r="E315" s="23" t="s">
        <v>489</v>
      </c>
      <c r="F315" s="23" t="s">
        <v>475</v>
      </c>
      <c r="G315" s="23" t="s">
        <v>477</v>
      </c>
      <c r="H315" s="23" t="s">
        <v>483</v>
      </c>
      <c r="I315" s="23" t="s">
        <v>482</v>
      </c>
      <c r="J315" s="23" t="s">
        <v>1557</v>
      </c>
      <c r="K315" s="23" t="s">
        <v>1998</v>
      </c>
      <c r="L315" s="23" t="s">
        <v>1999</v>
      </c>
      <c r="M315" s="23" t="s">
        <v>1888</v>
      </c>
      <c r="N315" s="23" t="s">
        <v>929</v>
      </c>
      <c r="O315" s="23">
        <v>100000</v>
      </c>
      <c r="P315" s="29" t="s">
        <v>879</v>
      </c>
      <c r="Q315" s="23" t="s">
        <v>2000</v>
      </c>
      <c r="R315" s="23"/>
      <c r="S315" s="23" t="s">
        <v>1869</v>
      </c>
    </row>
    <row r="316" spans="1:19" ht="43.2" x14ac:dyDescent="0.3">
      <c r="A316" s="23" t="s">
        <v>2001</v>
      </c>
      <c r="B316" s="23" t="s">
        <v>487</v>
      </c>
      <c r="C316" s="23" t="s">
        <v>470</v>
      </c>
      <c r="D316" s="23" t="s">
        <v>1930</v>
      </c>
      <c r="E316" s="23" t="s">
        <v>489</v>
      </c>
      <c r="F316" s="23" t="s">
        <v>475</v>
      </c>
      <c r="G316" s="23" t="s">
        <v>477</v>
      </c>
      <c r="H316" s="23" t="s">
        <v>483</v>
      </c>
      <c r="I316" s="23" t="s">
        <v>482</v>
      </c>
      <c r="J316" s="23" t="s">
        <v>1999</v>
      </c>
      <c r="K316" s="23" t="s">
        <v>2002</v>
      </c>
      <c r="L316" s="23" t="s">
        <v>2003</v>
      </c>
      <c r="M316" s="23" t="s">
        <v>138</v>
      </c>
      <c r="N316" s="23" t="s">
        <v>168</v>
      </c>
      <c r="O316" s="23">
        <v>75000</v>
      </c>
      <c r="P316" s="29" t="s">
        <v>879</v>
      </c>
      <c r="Q316" s="23" t="s">
        <v>2004</v>
      </c>
      <c r="R316" s="23"/>
      <c r="S316" s="23" t="s">
        <v>1900</v>
      </c>
    </row>
    <row r="317" spans="1:19" ht="43.2" x14ac:dyDescent="0.3">
      <c r="A317" s="23" t="s">
        <v>2005</v>
      </c>
      <c r="B317" s="23" t="s">
        <v>487</v>
      </c>
      <c r="C317" s="23" t="s">
        <v>470</v>
      </c>
      <c r="D317" s="23" t="s">
        <v>1930</v>
      </c>
      <c r="E317" s="23" t="s">
        <v>489</v>
      </c>
      <c r="F317" s="23" t="s">
        <v>475</v>
      </c>
      <c r="G317" s="23" t="s">
        <v>477</v>
      </c>
      <c r="H317" s="23" t="s">
        <v>483</v>
      </c>
      <c r="I317" s="23" t="s">
        <v>482</v>
      </c>
      <c r="J317" s="23" t="s">
        <v>2003</v>
      </c>
      <c r="K317" s="23" t="s">
        <v>1480</v>
      </c>
      <c r="L317" s="23" t="s">
        <v>1055</v>
      </c>
      <c r="M317" s="23" t="s">
        <v>1888</v>
      </c>
      <c r="N317" s="23" t="s">
        <v>920</v>
      </c>
      <c r="O317" s="23">
        <v>150000</v>
      </c>
      <c r="P317" s="29" t="s">
        <v>879</v>
      </c>
      <c r="Q317" s="23" t="s">
        <v>2006</v>
      </c>
      <c r="R317" s="23"/>
      <c r="S317" s="23" t="s">
        <v>1882</v>
      </c>
    </row>
    <row r="318" spans="1:19" ht="43.2" x14ac:dyDescent="0.3">
      <c r="A318" s="23" t="s">
        <v>2007</v>
      </c>
      <c r="B318" s="23" t="s">
        <v>487</v>
      </c>
      <c r="C318" s="23" t="s">
        <v>470</v>
      </c>
      <c r="D318" s="23" t="s">
        <v>1930</v>
      </c>
      <c r="E318" s="23" t="s">
        <v>489</v>
      </c>
      <c r="F318" s="23" t="s">
        <v>475</v>
      </c>
      <c r="G318" s="23" t="s">
        <v>477</v>
      </c>
      <c r="H318" s="23" t="s">
        <v>483</v>
      </c>
      <c r="I318" s="23" t="s">
        <v>482</v>
      </c>
      <c r="J318" s="23" t="s">
        <v>1055</v>
      </c>
      <c r="K318" s="23" t="s">
        <v>2008</v>
      </c>
      <c r="L318" s="23" t="s">
        <v>2009</v>
      </c>
      <c r="M318" s="23" t="s">
        <v>878</v>
      </c>
      <c r="N318" s="23" t="s">
        <v>111</v>
      </c>
      <c r="O318" s="23">
        <v>75000</v>
      </c>
      <c r="P318" s="29" t="s">
        <v>879</v>
      </c>
      <c r="Q318" s="23" t="s">
        <v>2010</v>
      </c>
      <c r="R318" s="23"/>
      <c r="S318" s="23" t="s">
        <v>1917</v>
      </c>
    </row>
    <row r="319" spans="1:19" ht="43.2" x14ac:dyDescent="0.3">
      <c r="A319" s="23" t="s">
        <v>2011</v>
      </c>
      <c r="B319" s="23" t="s">
        <v>487</v>
      </c>
      <c r="C319" s="23" t="s">
        <v>470</v>
      </c>
      <c r="D319" s="23" t="s">
        <v>1930</v>
      </c>
      <c r="E319" s="23" t="s">
        <v>489</v>
      </c>
      <c r="F319" s="23" t="s">
        <v>475</v>
      </c>
      <c r="G319" s="23" t="s">
        <v>477</v>
      </c>
      <c r="H319" s="23" t="s">
        <v>483</v>
      </c>
      <c r="I319" s="23" t="s">
        <v>482</v>
      </c>
      <c r="J319" s="23" t="s">
        <v>2009</v>
      </c>
      <c r="K319" s="23" t="s">
        <v>2012</v>
      </c>
      <c r="L319" s="23" t="s">
        <v>439</v>
      </c>
      <c r="M319" s="23" t="s">
        <v>1888</v>
      </c>
      <c r="N319" s="23" t="s">
        <v>929</v>
      </c>
      <c r="O319" s="23">
        <v>125000</v>
      </c>
      <c r="P319" s="29" t="s">
        <v>879</v>
      </c>
      <c r="Q319" s="23" t="s">
        <v>2013</v>
      </c>
      <c r="R319" s="23"/>
      <c r="S319" s="23" t="s">
        <v>1917</v>
      </c>
    </row>
    <row r="320" spans="1:19" ht="43.2" x14ac:dyDescent="0.3">
      <c r="A320" s="23" t="s">
        <v>2014</v>
      </c>
      <c r="B320" s="23" t="s">
        <v>487</v>
      </c>
      <c r="C320" s="23" t="s">
        <v>470</v>
      </c>
      <c r="D320" s="23" t="s">
        <v>1930</v>
      </c>
      <c r="E320" s="23" t="s">
        <v>489</v>
      </c>
      <c r="F320" s="23" t="s">
        <v>475</v>
      </c>
      <c r="G320" s="23" t="s">
        <v>477</v>
      </c>
      <c r="H320" s="23" t="s">
        <v>483</v>
      </c>
      <c r="I320" s="23" t="s">
        <v>482</v>
      </c>
      <c r="J320" s="23" t="s">
        <v>439</v>
      </c>
      <c r="K320" s="23" t="s">
        <v>2015</v>
      </c>
      <c r="L320" s="23" t="s">
        <v>1564</v>
      </c>
      <c r="M320" s="23" t="s">
        <v>138</v>
      </c>
      <c r="N320" s="23" t="s">
        <v>131</v>
      </c>
      <c r="O320" s="23">
        <v>150000</v>
      </c>
      <c r="P320" s="29" t="s">
        <v>879</v>
      </c>
      <c r="Q320" s="23" t="s">
        <v>2016</v>
      </c>
      <c r="R320" s="23"/>
      <c r="S320" s="23" t="s">
        <v>1912</v>
      </c>
    </row>
    <row r="321" spans="1:19" ht="43.2" x14ac:dyDescent="0.3">
      <c r="A321" s="23" t="s">
        <v>2017</v>
      </c>
      <c r="B321" s="23" t="s">
        <v>487</v>
      </c>
      <c r="C321" s="23" t="s">
        <v>470</v>
      </c>
      <c r="D321" s="23" t="s">
        <v>1930</v>
      </c>
      <c r="E321" s="23" t="s">
        <v>489</v>
      </c>
      <c r="F321" s="23" t="s">
        <v>475</v>
      </c>
      <c r="G321" s="23" t="s">
        <v>477</v>
      </c>
      <c r="H321" s="23" t="s">
        <v>483</v>
      </c>
      <c r="I321" s="23" t="s">
        <v>482</v>
      </c>
      <c r="J321" s="23" t="s">
        <v>1564</v>
      </c>
      <c r="K321" s="23" t="s">
        <v>2018</v>
      </c>
      <c r="L321" s="23" t="s">
        <v>2019</v>
      </c>
      <c r="M321" s="23" t="s">
        <v>1888</v>
      </c>
      <c r="N321" s="23" t="s">
        <v>131</v>
      </c>
      <c r="O321" s="23">
        <v>150000</v>
      </c>
      <c r="P321" s="29" t="s">
        <v>879</v>
      </c>
      <c r="Q321" s="23" t="s">
        <v>2020</v>
      </c>
      <c r="R321" s="23"/>
      <c r="S321" s="23" t="s">
        <v>1882</v>
      </c>
    </row>
    <row r="322" spans="1:19" ht="43.2" x14ac:dyDescent="0.3">
      <c r="A322" s="23" t="s">
        <v>2021</v>
      </c>
      <c r="B322" s="23" t="s">
        <v>487</v>
      </c>
      <c r="C322" s="23" t="s">
        <v>470</v>
      </c>
      <c r="D322" s="23" t="s">
        <v>1930</v>
      </c>
      <c r="E322" s="23" t="s">
        <v>489</v>
      </c>
      <c r="F322" s="23" t="s">
        <v>475</v>
      </c>
      <c r="G322" s="23" t="s">
        <v>477</v>
      </c>
      <c r="H322" s="23" t="s">
        <v>483</v>
      </c>
      <c r="I322" s="23" t="s">
        <v>482</v>
      </c>
      <c r="J322" s="23" t="s">
        <v>2019</v>
      </c>
      <c r="K322" s="23" t="s">
        <v>2022</v>
      </c>
      <c r="L322" s="23" t="s">
        <v>2023</v>
      </c>
      <c r="M322" s="23" t="s">
        <v>1888</v>
      </c>
      <c r="N322" s="23" t="s">
        <v>111</v>
      </c>
      <c r="O322" s="23">
        <v>125000</v>
      </c>
      <c r="P322" s="29" t="s">
        <v>879</v>
      </c>
      <c r="Q322" s="23" t="s">
        <v>2024</v>
      </c>
      <c r="R322" s="23"/>
      <c r="S322" s="23" t="s">
        <v>1912</v>
      </c>
    </row>
    <row r="323" spans="1:19" ht="43.2" x14ac:dyDescent="0.3">
      <c r="A323" s="23" t="s">
        <v>2025</v>
      </c>
      <c r="B323" s="23" t="s">
        <v>487</v>
      </c>
      <c r="C323" s="23" t="s">
        <v>470</v>
      </c>
      <c r="D323" s="23" t="s">
        <v>1930</v>
      </c>
      <c r="E323" s="23" t="s">
        <v>489</v>
      </c>
      <c r="F323" s="23" t="s">
        <v>475</v>
      </c>
      <c r="G323" s="23" t="s">
        <v>477</v>
      </c>
      <c r="H323" s="23" t="s">
        <v>483</v>
      </c>
      <c r="I323" s="23" t="s">
        <v>482</v>
      </c>
      <c r="J323" s="23" t="s">
        <v>2023</v>
      </c>
      <c r="K323" s="23" t="s">
        <v>933</v>
      </c>
      <c r="L323" s="23" t="s">
        <v>1568</v>
      </c>
      <c r="M323" s="23" t="s">
        <v>1888</v>
      </c>
      <c r="N323" s="23" t="s">
        <v>131</v>
      </c>
      <c r="O323" s="23">
        <v>125000</v>
      </c>
      <c r="P323" s="29" t="s">
        <v>879</v>
      </c>
      <c r="Q323" s="23" t="s">
        <v>2026</v>
      </c>
      <c r="R323" s="23"/>
      <c r="S323" s="23" t="s">
        <v>1882</v>
      </c>
    </row>
    <row r="324" spans="1:19" ht="43.2" x14ac:dyDescent="0.3">
      <c r="A324" s="23" t="s">
        <v>2027</v>
      </c>
      <c r="B324" s="23" t="s">
        <v>487</v>
      </c>
      <c r="C324" s="23" t="s">
        <v>470</v>
      </c>
      <c r="D324" s="23" t="s">
        <v>1930</v>
      </c>
      <c r="E324" s="23" t="s">
        <v>489</v>
      </c>
      <c r="F324" s="23" t="s">
        <v>475</v>
      </c>
      <c r="G324" s="23" t="s">
        <v>477</v>
      </c>
      <c r="H324" s="23" t="s">
        <v>483</v>
      </c>
      <c r="I324" s="23" t="s">
        <v>482</v>
      </c>
      <c r="J324" s="23" t="s">
        <v>1568</v>
      </c>
      <c r="K324" s="23" t="s">
        <v>1534</v>
      </c>
      <c r="L324" s="23" t="s">
        <v>2028</v>
      </c>
      <c r="M324" s="23" t="s">
        <v>878</v>
      </c>
      <c r="N324" s="23" t="s">
        <v>896</v>
      </c>
      <c r="O324" s="23">
        <v>75000</v>
      </c>
      <c r="P324" s="29" t="s">
        <v>879</v>
      </c>
      <c r="Q324" s="23" t="s">
        <v>2029</v>
      </c>
      <c r="R324" s="23" t="s">
        <v>938</v>
      </c>
      <c r="S324" s="23" t="s">
        <v>1874</v>
      </c>
    </row>
    <row r="325" spans="1:19" ht="43.2" x14ac:dyDescent="0.3">
      <c r="A325" s="23" t="s">
        <v>2030</v>
      </c>
      <c r="B325" s="23" t="s">
        <v>487</v>
      </c>
      <c r="C325" s="23" t="s">
        <v>470</v>
      </c>
      <c r="D325" s="23" t="s">
        <v>1930</v>
      </c>
      <c r="E325" s="23" t="s">
        <v>489</v>
      </c>
      <c r="F325" s="23" t="s">
        <v>475</v>
      </c>
      <c r="G325" s="23" t="s">
        <v>477</v>
      </c>
      <c r="H325" s="23" t="s">
        <v>483</v>
      </c>
      <c r="I325" s="23" t="s">
        <v>482</v>
      </c>
      <c r="J325" s="23" t="s">
        <v>2028</v>
      </c>
      <c r="K325" s="23" t="s">
        <v>1838</v>
      </c>
      <c r="L325" s="23" t="s">
        <v>2031</v>
      </c>
      <c r="M325" s="23" t="s">
        <v>1880</v>
      </c>
      <c r="N325" s="23" t="s">
        <v>168</v>
      </c>
      <c r="O325" s="23">
        <v>125000</v>
      </c>
      <c r="P325" s="29" t="s">
        <v>879</v>
      </c>
      <c r="Q325" s="23" t="s">
        <v>2032</v>
      </c>
      <c r="R325" s="23"/>
      <c r="S325" s="23" t="s">
        <v>1869</v>
      </c>
    </row>
    <row r="326" spans="1:19" ht="43.2" x14ac:dyDescent="0.3">
      <c r="A326" s="23" t="s">
        <v>2033</v>
      </c>
      <c r="B326" s="23" t="s">
        <v>487</v>
      </c>
      <c r="C326" s="23" t="s">
        <v>470</v>
      </c>
      <c r="D326" s="23" t="s">
        <v>1930</v>
      </c>
      <c r="E326" s="23" t="s">
        <v>489</v>
      </c>
      <c r="F326" s="23" t="s">
        <v>475</v>
      </c>
      <c r="G326" s="23" t="s">
        <v>477</v>
      </c>
      <c r="H326" s="23" t="s">
        <v>483</v>
      </c>
      <c r="I326" s="23" t="s">
        <v>482</v>
      </c>
      <c r="J326" s="23" t="s">
        <v>2031</v>
      </c>
      <c r="K326" s="23" t="s">
        <v>1489</v>
      </c>
      <c r="L326" s="23" t="s">
        <v>1571</v>
      </c>
      <c r="M326" s="23" t="s">
        <v>138</v>
      </c>
      <c r="N326" s="23" t="s">
        <v>168</v>
      </c>
      <c r="O326" s="23">
        <v>150000</v>
      </c>
      <c r="P326" s="29" t="s">
        <v>879</v>
      </c>
      <c r="Q326" s="23" t="s">
        <v>2034</v>
      </c>
      <c r="R326" s="23"/>
      <c r="S326" s="23" t="s">
        <v>1882</v>
      </c>
    </row>
    <row r="327" spans="1:19" ht="43.2" x14ac:dyDescent="0.3">
      <c r="A327" s="23" t="s">
        <v>2035</v>
      </c>
      <c r="B327" s="23" t="s">
        <v>487</v>
      </c>
      <c r="C327" s="23" t="s">
        <v>470</v>
      </c>
      <c r="D327" s="23" t="s">
        <v>1930</v>
      </c>
      <c r="E327" s="23" t="s">
        <v>489</v>
      </c>
      <c r="F327" s="23" t="s">
        <v>475</v>
      </c>
      <c r="G327" s="23" t="s">
        <v>477</v>
      </c>
      <c r="H327" s="23" t="s">
        <v>483</v>
      </c>
      <c r="I327" s="23" t="s">
        <v>482</v>
      </c>
      <c r="J327" s="23" t="s">
        <v>1571</v>
      </c>
      <c r="K327" s="23" t="s">
        <v>2036</v>
      </c>
      <c r="L327" s="23" t="s">
        <v>2037</v>
      </c>
      <c r="M327" s="23" t="s">
        <v>878</v>
      </c>
      <c r="N327" s="23" t="s">
        <v>920</v>
      </c>
      <c r="O327" s="23">
        <v>150000</v>
      </c>
      <c r="P327" s="29" t="s">
        <v>879</v>
      </c>
      <c r="Q327" s="23" t="s">
        <v>2038</v>
      </c>
      <c r="R327" s="23"/>
      <c r="S327" s="23" t="s">
        <v>1882</v>
      </c>
    </row>
    <row r="328" spans="1:19" ht="43.2" x14ac:dyDescent="0.3">
      <c r="A328" s="23" t="s">
        <v>2039</v>
      </c>
      <c r="B328" s="23" t="s">
        <v>487</v>
      </c>
      <c r="C328" s="23" t="s">
        <v>470</v>
      </c>
      <c r="D328" s="23" t="s">
        <v>1930</v>
      </c>
      <c r="E328" s="23" t="s">
        <v>489</v>
      </c>
      <c r="F328" s="23" t="s">
        <v>475</v>
      </c>
      <c r="G328" s="23" t="s">
        <v>477</v>
      </c>
      <c r="H328" s="23" t="s">
        <v>483</v>
      </c>
      <c r="I328" s="23" t="s">
        <v>482</v>
      </c>
      <c r="J328" s="23" t="s">
        <v>2037</v>
      </c>
      <c r="K328" s="23" t="s">
        <v>2040</v>
      </c>
      <c r="L328" s="23" t="s">
        <v>359</v>
      </c>
      <c r="M328" s="23" t="s">
        <v>1888</v>
      </c>
      <c r="N328" s="23" t="s">
        <v>168</v>
      </c>
      <c r="O328" s="23">
        <v>100000</v>
      </c>
      <c r="P328" s="29" t="s">
        <v>879</v>
      </c>
      <c r="Q328" s="23" t="s">
        <v>2041</v>
      </c>
      <c r="R328" s="23" t="s">
        <v>1457</v>
      </c>
      <c r="S328" s="23" t="s">
        <v>1917</v>
      </c>
    </row>
    <row r="329" spans="1:19" ht="43.2" x14ac:dyDescent="0.3">
      <c r="A329" s="23" t="s">
        <v>2042</v>
      </c>
      <c r="B329" s="23" t="s">
        <v>487</v>
      </c>
      <c r="C329" s="23" t="s">
        <v>470</v>
      </c>
      <c r="D329" s="23" t="s">
        <v>1930</v>
      </c>
      <c r="E329" s="23" t="s">
        <v>489</v>
      </c>
      <c r="F329" s="23" t="s">
        <v>475</v>
      </c>
      <c r="G329" s="23" t="s">
        <v>477</v>
      </c>
      <c r="H329" s="23" t="s">
        <v>483</v>
      </c>
      <c r="I329" s="23" t="s">
        <v>482</v>
      </c>
      <c r="J329" s="23" t="s">
        <v>359</v>
      </c>
      <c r="K329" s="23" t="s">
        <v>248</v>
      </c>
      <c r="L329" s="23" t="s">
        <v>1574</v>
      </c>
      <c r="M329" s="23" t="s">
        <v>1888</v>
      </c>
      <c r="N329" s="23" t="s">
        <v>131</v>
      </c>
      <c r="O329" s="23">
        <v>150000</v>
      </c>
      <c r="P329" s="29" t="s">
        <v>879</v>
      </c>
      <c r="Q329" s="23" t="s">
        <v>2043</v>
      </c>
      <c r="R329" s="23"/>
      <c r="S329" s="23" t="s">
        <v>1869</v>
      </c>
    </row>
    <row r="330" spans="1:19" ht="43.2" x14ac:dyDescent="0.3">
      <c r="A330" s="23" t="s">
        <v>2044</v>
      </c>
      <c r="B330" s="23" t="s">
        <v>487</v>
      </c>
      <c r="C330" s="23" t="s">
        <v>470</v>
      </c>
      <c r="D330" s="23" t="s">
        <v>1930</v>
      </c>
      <c r="E330" s="23" t="s">
        <v>489</v>
      </c>
      <c r="F330" s="23" t="s">
        <v>475</v>
      </c>
      <c r="G330" s="23" t="s">
        <v>477</v>
      </c>
      <c r="H330" s="23" t="s">
        <v>483</v>
      </c>
      <c r="I330" s="23" t="s">
        <v>482</v>
      </c>
      <c r="J330" s="23" t="s">
        <v>2045</v>
      </c>
      <c r="K330" s="23" t="s">
        <v>361</v>
      </c>
      <c r="L330" s="23" t="s">
        <v>493</v>
      </c>
      <c r="M330" s="23" t="s">
        <v>878</v>
      </c>
      <c r="N330" s="23" t="s">
        <v>131</v>
      </c>
      <c r="O330" s="23">
        <v>150000</v>
      </c>
      <c r="P330" s="29" t="s">
        <v>879</v>
      </c>
      <c r="Q330" s="23" t="s">
        <v>2046</v>
      </c>
      <c r="R330" s="23"/>
      <c r="S330" s="23" t="s">
        <v>1874</v>
      </c>
    </row>
    <row r="331" spans="1:19" ht="43.2" x14ac:dyDescent="0.3">
      <c r="A331" s="23" t="s">
        <v>2047</v>
      </c>
      <c r="B331" s="23" t="s">
        <v>487</v>
      </c>
      <c r="C331" s="23" t="s">
        <v>470</v>
      </c>
      <c r="D331" s="23" t="s">
        <v>1930</v>
      </c>
      <c r="E331" s="23" t="s">
        <v>489</v>
      </c>
      <c r="F331" s="23" t="s">
        <v>475</v>
      </c>
      <c r="G331" s="23" t="s">
        <v>477</v>
      </c>
      <c r="H331" s="23" t="s">
        <v>483</v>
      </c>
      <c r="I331" s="23" t="s">
        <v>482</v>
      </c>
      <c r="J331" s="23" t="s">
        <v>493</v>
      </c>
      <c r="K331" s="23"/>
      <c r="L331" s="23" t="s">
        <v>302</v>
      </c>
      <c r="M331" s="23" t="s">
        <v>1888</v>
      </c>
      <c r="N331" s="23" t="s">
        <v>219</v>
      </c>
      <c r="O331" s="23">
        <v>0</v>
      </c>
      <c r="P331" s="30" t="s">
        <v>948</v>
      </c>
      <c r="Q331" s="23" t="s">
        <v>2048</v>
      </c>
      <c r="R331" s="23"/>
      <c r="S331" s="23" t="s">
        <v>950</v>
      </c>
    </row>
    <row r="332" spans="1:19" ht="28.8" x14ac:dyDescent="0.3">
      <c r="A332" s="23" t="s">
        <v>2049</v>
      </c>
      <c r="B332" s="23" t="s">
        <v>497</v>
      </c>
      <c r="C332" s="23" t="s">
        <v>498</v>
      </c>
      <c r="D332" s="23" t="s">
        <v>2050</v>
      </c>
      <c r="E332" s="23" t="s">
        <v>501</v>
      </c>
      <c r="F332" s="23" t="s">
        <v>503</v>
      </c>
      <c r="G332" s="23" t="s">
        <v>175</v>
      </c>
      <c r="H332" s="23" t="s">
        <v>508</v>
      </c>
      <c r="I332" s="23" t="s">
        <v>96</v>
      </c>
      <c r="J332" s="23" t="s">
        <v>2051</v>
      </c>
      <c r="K332" s="23" t="s">
        <v>2052</v>
      </c>
      <c r="L332" s="23" t="s">
        <v>1156</v>
      </c>
      <c r="M332" s="23" t="s">
        <v>1888</v>
      </c>
      <c r="N332" s="23" t="s">
        <v>168</v>
      </c>
      <c r="O332" s="23">
        <v>20000</v>
      </c>
      <c r="P332" s="29" t="s">
        <v>879</v>
      </c>
      <c r="Q332" s="23" t="s">
        <v>2053</v>
      </c>
      <c r="R332" s="23"/>
      <c r="S332" s="23" t="s">
        <v>2054</v>
      </c>
    </row>
    <row r="333" spans="1:19" ht="28.8" x14ac:dyDescent="0.3">
      <c r="A333" s="23" t="s">
        <v>2055</v>
      </c>
      <c r="B333" s="23" t="s">
        <v>497</v>
      </c>
      <c r="C333" s="23" t="s">
        <v>498</v>
      </c>
      <c r="D333" s="23" t="s">
        <v>2050</v>
      </c>
      <c r="E333" s="23" t="s">
        <v>501</v>
      </c>
      <c r="F333" s="23" t="s">
        <v>503</v>
      </c>
      <c r="G333" s="23" t="s">
        <v>175</v>
      </c>
      <c r="H333" s="23" t="s">
        <v>508</v>
      </c>
      <c r="I333" s="23" t="s">
        <v>96</v>
      </c>
      <c r="J333" s="23" t="s">
        <v>1156</v>
      </c>
      <c r="K333" s="23" t="s">
        <v>2056</v>
      </c>
      <c r="L333" s="23" t="s">
        <v>664</v>
      </c>
      <c r="M333" s="23" t="s">
        <v>902</v>
      </c>
      <c r="N333" s="23" t="s">
        <v>920</v>
      </c>
      <c r="O333" s="23">
        <v>20000</v>
      </c>
      <c r="P333" s="29" t="s">
        <v>879</v>
      </c>
      <c r="Q333" s="23" t="s">
        <v>2057</v>
      </c>
      <c r="R333" s="23"/>
      <c r="S333" s="23" t="s">
        <v>2058</v>
      </c>
    </row>
    <row r="334" spans="1:19" ht="28.8" x14ac:dyDescent="0.3">
      <c r="A334" s="23" t="s">
        <v>2059</v>
      </c>
      <c r="B334" s="23" t="s">
        <v>497</v>
      </c>
      <c r="C334" s="23" t="s">
        <v>498</v>
      </c>
      <c r="D334" s="23" t="s">
        <v>2050</v>
      </c>
      <c r="E334" s="23" t="s">
        <v>501</v>
      </c>
      <c r="F334" s="23" t="s">
        <v>503</v>
      </c>
      <c r="G334" s="23" t="s">
        <v>175</v>
      </c>
      <c r="H334" s="23" t="s">
        <v>508</v>
      </c>
      <c r="I334" s="23" t="s">
        <v>96</v>
      </c>
      <c r="J334" s="23" t="s">
        <v>664</v>
      </c>
      <c r="K334" s="23" t="s">
        <v>2060</v>
      </c>
      <c r="L334" s="23" t="s">
        <v>2061</v>
      </c>
      <c r="M334" s="23" t="s">
        <v>1888</v>
      </c>
      <c r="N334" s="23" t="s">
        <v>920</v>
      </c>
      <c r="O334" s="23">
        <v>25000</v>
      </c>
      <c r="P334" s="29" t="s">
        <v>879</v>
      </c>
      <c r="Q334" s="23" t="s">
        <v>2062</v>
      </c>
      <c r="R334" s="23"/>
      <c r="S334" s="23" t="s">
        <v>2063</v>
      </c>
    </row>
    <row r="335" spans="1:19" ht="28.8" x14ac:dyDescent="0.3">
      <c r="A335" s="23" t="s">
        <v>2064</v>
      </c>
      <c r="B335" s="23" t="s">
        <v>497</v>
      </c>
      <c r="C335" s="23" t="s">
        <v>498</v>
      </c>
      <c r="D335" s="23" t="s">
        <v>2050</v>
      </c>
      <c r="E335" s="23" t="s">
        <v>501</v>
      </c>
      <c r="F335" s="23" t="s">
        <v>503</v>
      </c>
      <c r="G335" s="23" t="s">
        <v>175</v>
      </c>
      <c r="H335" s="23" t="s">
        <v>508</v>
      </c>
      <c r="I335" s="23" t="s">
        <v>96</v>
      </c>
      <c r="J335" s="23" t="s">
        <v>2061</v>
      </c>
      <c r="K335" s="23" t="s">
        <v>1872</v>
      </c>
      <c r="L335" s="23" t="s">
        <v>2065</v>
      </c>
      <c r="M335" s="23" t="s">
        <v>902</v>
      </c>
      <c r="N335" s="23" t="s">
        <v>920</v>
      </c>
      <c r="O335" s="23">
        <v>35000</v>
      </c>
      <c r="P335" s="29" t="s">
        <v>879</v>
      </c>
      <c r="Q335" s="23" t="s">
        <v>2066</v>
      </c>
      <c r="R335" s="23"/>
      <c r="S335" s="23" t="s">
        <v>2054</v>
      </c>
    </row>
    <row r="336" spans="1:19" ht="28.8" x14ac:dyDescent="0.3">
      <c r="A336" s="23" t="s">
        <v>2067</v>
      </c>
      <c r="B336" s="23" t="s">
        <v>497</v>
      </c>
      <c r="C336" s="23" t="s">
        <v>498</v>
      </c>
      <c r="D336" s="23" t="s">
        <v>2050</v>
      </c>
      <c r="E336" s="23" t="s">
        <v>501</v>
      </c>
      <c r="F336" s="23" t="s">
        <v>503</v>
      </c>
      <c r="G336" s="23" t="s">
        <v>175</v>
      </c>
      <c r="H336" s="23" t="s">
        <v>508</v>
      </c>
      <c r="I336" s="23" t="s">
        <v>96</v>
      </c>
      <c r="J336" s="23" t="s">
        <v>2065</v>
      </c>
      <c r="K336" s="23" t="s">
        <v>2065</v>
      </c>
      <c r="L336" s="23" t="s">
        <v>2068</v>
      </c>
      <c r="M336" s="23" t="s">
        <v>1888</v>
      </c>
      <c r="N336" s="23" t="s">
        <v>131</v>
      </c>
      <c r="O336" s="23">
        <v>15000</v>
      </c>
      <c r="P336" s="29" t="s">
        <v>879</v>
      </c>
      <c r="Q336" s="23" t="s">
        <v>2069</v>
      </c>
      <c r="R336" s="23"/>
      <c r="S336" s="23" t="s">
        <v>2070</v>
      </c>
    </row>
    <row r="337" spans="1:19" ht="28.8" x14ac:dyDescent="0.3">
      <c r="A337" s="23" t="s">
        <v>2071</v>
      </c>
      <c r="B337" s="23" t="s">
        <v>497</v>
      </c>
      <c r="C337" s="23" t="s">
        <v>498</v>
      </c>
      <c r="D337" s="23" t="s">
        <v>2050</v>
      </c>
      <c r="E337" s="23" t="s">
        <v>501</v>
      </c>
      <c r="F337" s="23" t="s">
        <v>503</v>
      </c>
      <c r="G337" s="23" t="s">
        <v>175</v>
      </c>
      <c r="H337" s="23" t="s">
        <v>508</v>
      </c>
      <c r="I337" s="23" t="s">
        <v>96</v>
      </c>
      <c r="J337" s="23" t="s">
        <v>2068</v>
      </c>
      <c r="K337" s="23" t="s">
        <v>2072</v>
      </c>
      <c r="L337" s="23" t="s">
        <v>2073</v>
      </c>
      <c r="M337" s="23" t="s">
        <v>902</v>
      </c>
      <c r="N337" s="23" t="s">
        <v>219</v>
      </c>
      <c r="O337" s="23">
        <v>35000</v>
      </c>
      <c r="P337" s="29" t="s">
        <v>879</v>
      </c>
      <c r="Q337" s="23" t="s">
        <v>2074</v>
      </c>
      <c r="R337" s="23"/>
      <c r="S337" s="23" t="s">
        <v>2070</v>
      </c>
    </row>
    <row r="338" spans="1:19" ht="28.8" x14ac:dyDescent="0.3">
      <c r="A338" s="23" t="s">
        <v>2075</v>
      </c>
      <c r="B338" s="23" t="s">
        <v>497</v>
      </c>
      <c r="C338" s="23" t="s">
        <v>498</v>
      </c>
      <c r="D338" s="23" t="s">
        <v>2050</v>
      </c>
      <c r="E338" s="23" t="s">
        <v>501</v>
      </c>
      <c r="F338" s="23" t="s">
        <v>503</v>
      </c>
      <c r="G338" s="23" t="s">
        <v>175</v>
      </c>
      <c r="H338" s="23" t="s">
        <v>508</v>
      </c>
      <c r="I338" s="23" t="s">
        <v>96</v>
      </c>
      <c r="J338" s="23" t="s">
        <v>2073</v>
      </c>
      <c r="K338" s="23" t="s">
        <v>2076</v>
      </c>
      <c r="L338" s="23" t="s">
        <v>1178</v>
      </c>
      <c r="M338" s="23" t="s">
        <v>902</v>
      </c>
      <c r="N338" s="23" t="s">
        <v>111</v>
      </c>
      <c r="O338" s="23">
        <v>15000</v>
      </c>
      <c r="P338" s="29" t="s">
        <v>879</v>
      </c>
      <c r="Q338" s="23" t="s">
        <v>2077</v>
      </c>
      <c r="R338" s="23"/>
      <c r="S338" s="23" t="s">
        <v>2058</v>
      </c>
    </row>
    <row r="339" spans="1:19" ht="28.8" x14ac:dyDescent="0.3">
      <c r="A339" s="23" t="s">
        <v>2078</v>
      </c>
      <c r="B339" s="23" t="s">
        <v>497</v>
      </c>
      <c r="C339" s="23" t="s">
        <v>498</v>
      </c>
      <c r="D339" s="23" t="s">
        <v>2050</v>
      </c>
      <c r="E339" s="23" t="s">
        <v>501</v>
      </c>
      <c r="F339" s="23" t="s">
        <v>503</v>
      </c>
      <c r="G339" s="23" t="s">
        <v>175</v>
      </c>
      <c r="H339" s="23" t="s">
        <v>508</v>
      </c>
      <c r="I339" s="23" t="s">
        <v>96</v>
      </c>
      <c r="J339" s="23" t="s">
        <v>1178</v>
      </c>
      <c r="K339" s="23" t="s">
        <v>1910</v>
      </c>
      <c r="L339" s="23" t="s">
        <v>506</v>
      </c>
      <c r="M339" s="23" t="s">
        <v>878</v>
      </c>
      <c r="N339" s="23" t="s">
        <v>896</v>
      </c>
      <c r="O339" s="23">
        <v>20000</v>
      </c>
      <c r="P339" s="29" t="s">
        <v>879</v>
      </c>
      <c r="Q339" s="23" t="s">
        <v>2079</v>
      </c>
      <c r="R339" s="23"/>
      <c r="S339" s="23" t="s">
        <v>2054</v>
      </c>
    </row>
    <row r="340" spans="1:19" ht="28.8" x14ac:dyDescent="0.3">
      <c r="A340" s="23" t="s">
        <v>2080</v>
      </c>
      <c r="B340" s="23" t="s">
        <v>497</v>
      </c>
      <c r="C340" s="23" t="s">
        <v>498</v>
      </c>
      <c r="D340" s="23" t="s">
        <v>2050</v>
      </c>
      <c r="E340" s="23" t="s">
        <v>501</v>
      </c>
      <c r="F340" s="23" t="s">
        <v>503</v>
      </c>
      <c r="G340" s="23" t="s">
        <v>175</v>
      </c>
      <c r="H340" s="23" t="s">
        <v>508</v>
      </c>
      <c r="I340" s="23" t="s">
        <v>96</v>
      </c>
      <c r="J340" s="23" t="s">
        <v>506</v>
      </c>
      <c r="K340" s="23" t="s">
        <v>506</v>
      </c>
      <c r="L340" s="23" t="s">
        <v>507</v>
      </c>
      <c r="M340" s="23" t="s">
        <v>902</v>
      </c>
      <c r="N340" s="23" t="s">
        <v>131</v>
      </c>
      <c r="O340" s="23">
        <v>15000</v>
      </c>
      <c r="P340" s="29" t="s">
        <v>879</v>
      </c>
      <c r="Q340" s="23" t="s">
        <v>2081</v>
      </c>
      <c r="R340" s="23"/>
      <c r="S340" s="23" t="s">
        <v>2063</v>
      </c>
    </row>
    <row r="341" spans="1:19" ht="28.8" x14ac:dyDescent="0.3">
      <c r="A341" s="23" t="s">
        <v>2082</v>
      </c>
      <c r="B341" s="23" t="s">
        <v>497</v>
      </c>
      <c r="C341" s="23" t="s">
        <v>498</v>
      </c>
      <c r="D341" s="23" t="s">
        <v>2050</v>
      </c>
      <c r="E341" s="23" t="s">
        <v>501</v>
      </c>
      <c r="F341" s="23" t="s">
        <v>503</v>
      </c>
      <c r="G341" s="23" t="s">
        <v>175</v>
      </c>
      <c r="H341" s="23" t="s">
        <v>508</v>
      </c>
      <c r="I341" s="23" t="s">
        <v>96</v>
      </c>
      <c r="J341" s="23" t="s">
        <v>507</v>
      </c>
      <c r="K341" s="23"/>
      <c r="L341" s="23" t="s">
        <v>2083</v>
      </c>
      <c r="M341" s="23" t="s">
        <v>1888</v>
      </c>
      <c r="N341" s="23" t="s">
        <v>896</v>
      </c>
      <c r="O341" s="23">
        <v>0</v>
      </c>
      <c r="P341" s="30" t="s">
        <v>948</v>
      </c>
      <c r="Q341" s="23" t="s">
        <v>2084</v>
      </c>
      <c r="R341" s="23"/>
      <c r="S341" s="23" t="s">
        <v>950</v>
      </c>
    </row>
    <row r="342" spans="1:19" ht="28.8" x14ac:dyDescent="0.3">
      <c r="A342" s="23" t="s">
        <v>2085</v>
      </c>
      <c r="B342" s="23" t="s">
        <v>512</v>
      </c>
      <c r="C342" s="23" t="s">
        <v>498</v>
      </c>
      <c r="D342" s="23" t="s">
        <v>2086</v>
      </c>
      <c r="E342" s="23" t="s">
        <v>514</v>
      </c>
      <c r="F342" s="23" t="s">
        <v>503</v>
      </c>
      <c r="G342" s="23" t="s">
        <v>88</v>
      </c>
      <c r="H342" s="23" t="s">
        <v>508</v>
      </c>
      <c r="I342" s="23" t="s">
        <v>96</v>
      </c>
      <c r="J342" s="23" t="s">
        <v>2087</v>
      </c>
      <c r="K342" s="23" t="s">
        <v>2088</v>
      </c>
      <c r="L342" s="23" t="s">
        <v>2089</v>
      </c>
      <c r="M342" s="23" t="s">
        <v>878</v>
      </c>
      <c r="N342" s="23" t="s">
        <v>219</v>
      </c>
      <c r="O342" s="23">
        <v>25000</v>
      </c>
      <c r="P342" s="29" t="s">
        <v>879</v>
      </c>
      <c r="Q342" s="23" t="s">
        <v>2090</v>
      </c>
      <c r="R342" s="23"/>
      <c r="S342" s="23" t="s">
        <v>2063</v>
      </c>
    </row>
    <row r="343" spans="1:19" ht="28.8" x14ac:dyDescent="0.3">
      <c r="A343" s="23" t="s">
        <v>2091</v>
      </c>
      <c r="B343" s="23" t="s">
        <v>512</v>
      </c>
      <c r="C343" s="23" t="s">
        <v>498</v>
      </c>
      <c r="D343" s="23" t="s">
        <v>2086</v>
      </c>
      <c r="E343" s="23" t="s">
        <v>514</v>
      </c>
      <c r="F343" s="23" t="s">
        <v>503</v>
      </c>
      <c r="G343" s="23" t="s">
        <v>88</v>
      </c>
      <c r="H343" s="23" t="s">
        <v>508</v>
      </c>
      <c r="I343" s="23" t="s">
        <v>96</v>
      </c>
      <c r="J343" s="23" t="s">
        <v>2089</v>
      </c>
      <c r="K343" s="23" t="s">
        <v>139</v>
      </c>
      <c r="L343" s="23" t="s">
        <v>2092</v>
      </c>
      <c r="M343" s="23" t="s">
        <v>902</v>
      </c>
      <c r="N343" s="23" t="s">
        <v>896</v>
      </c>
      <c r="O343" s="23">
        <v>15000</v>
      </c>
      <c r="P343" s="29" t="s">
        <v>879</v>
      </c>
      <c r="Q343" s="23" t="s">
        <v>2093</v>
      </c>
      <c r="R343" s="23"/>
      <c r="S343" s="23" t="s">
        <v>2070</v>
      </c>
    </row>
    <row r="344" spans="1:19" ht="28.8" x14ac:dyDescent="0.3">
      <c r="A344" s="23" t="s">
        <v>2094</v>
      </c>
      <c r="B344" s="23" t="s">
        <v>512</v>
      </c>
      <c r="C344" s="23" t="s">
        <v>498</v>
      </c>
      <c r="D344" s="23" t="s">
        <v>2086</v>
      </c>
      <c r="E344" s="23" t="s">
        <v>514</v>
      </c>
      <c r="F344" s="23" t="s">
        <v>503</v>
      </c>
      <c r="G344" s="23" t="s">
        <v>88</v>
      </c>
      <c r="H344" s="23" t="s">
        <v>508</v>
      </c>
      <c r="I344" s="23" t="s">
        <v>96</v>
      </c>
      <c r="J344" s="23" t="s">
        <v>2092</v>
      </c>
      <c r="K344" s="23" t="s">
        <v>2092</v>
      </c>
      <c r="L344" s="23" t="s">
        <v>900</v>
      </c>
      <c r="M344" s="23" t="s">
        <v>878</v>
      </c>
      <c r="N344" s="23" t="s">
        <v>896</v>
      </c>
      <c r="O344" s="23">
        <v>20000</v>
      </c>
      <c r="P344" s="29" t="s">
        <v>879</v>
      </c>
      <c r="Q344" s="23" t="s">
        <v>2095</v>
      </c>
      <c r="R344" s="23"/>
      <c r="S344" s="23" t="s">
        <v>2063</v>
      </c>
    </row>
    <row r="345" spans="1:19" ht="28.8" x14ac:dyDescent="0.3">
      <c r="A345" s="23" t="s">
        <v>2096</v>
      </c>
      <c r="B345" s="23" t="s">
        <v>512</v>
      </c>
      <c r="C345" s="23" t="s">
        <v>498</v>
      </c>
      <c r="D345" s="23" t="s">
        <v>2086</v>
      </c>
      <c r="E345" s="23" t="s">
        <v>514</v>
      </c>
      <c r="F345" s="23" t="s">
        <v>503</v>
      </c>
      <c r="G345" s="23" t="s">
        <v>88</v>
      </c>
      <c r="H345" s="23" t="s">
        <v>508</v>
      </c>
      <c r="I345" s="23" t="s">
        <v>96</v>
      </c>
      <c r="J345" s="23" t="s">
        <v>900</v>
      </c>
      <c r="K345" s="23" t="s">
        <v>1952</v>
      </c>
      <c r="L345" s="23" t="s">
        <v>2097</v>
      </c>
      <c r="M345" s="23" t="s">
        <v>902</v>
      </c>
      <c r="N345" s="23" t="s">
        <v>111</v>
      </c>
      <c r="O345" s="23">
        <v>35000</v>
      </c>
      <c r="P345" s="29" t="s">
        <v>879</v>
      </c>
      <c r="Q345" s="23" t="s">
        <v>2098</v>
      </c>
      <c r="R345" s="23"/>
      <c r="S345" s="23" t="s">
        <v>2054</v>
      </c>
    </row>
    <row r="346" spans="1:19" ht="28.8" x14ac:dyDescent="0.3">
      <c r="A346" s="23" t="s">
        <v>2099</v>
      </c>
      <c r="B346" s="23" t="s">
        <v>512</v>
      </c>
      <c r="C346" s="23" t="s">
        <v>498</v>
      </c>
      <c r="D346" s="23" t="s">
        <v>2086</v>
      </c>
      <c r="E346" s="23" t="s">
        <v>514</v>
      </c>
      <c r="F346" s="23" t="s">
        <v>503</v>
      </c>
      <c r="G346" s="23" t="s">
        <v>88</v>
      </c>
      <c r="H346" s="23" t="s">
        <v>508</v>
      </c>
      <c r="I346" s="23" t="s">
        <v>96</v>
      </c>
      <c r="J346" s="23" t="s">
        <v>2097</v>
      </c>
      <c r="K346" s="23" t="s">
        <v>906</v>
      </c>
      <c r="L346" s="23" t="s">
        <v>910</v>
      </c>
      <c r="M346" s="23" t="s">
        <v>1888</v>
      </c>
      <c r="N346" s="23" t="s">
        <v>920</v>
      </c>
      <c r="O346" s="23">
        <v>35000</v>
      </c>
      <c r="P346" s="29" t="s">
        <v>879</v>
      </c>
      <c r="Q346" s="23" t="s">
        <v>2100</v>
      </c>
      <c r="R346" s="23"/>
      <c r="S346" s="23" t="s">
        <v>2063</v>
      </c>
    </row>
    <row r="347" spans="1:19" ht="28.8" x14ac:dyDescent="0.3">
      <c r="A347" s="23" t="s">
        <v>2101</v>
      </c>
      <c r="B347" s="23" t="s">
        <v>512</v>
      </c>
      <c r="C347" s="23" t="s">
        <v>498</v>
      </c>
      <c r="D347" s="23" t="s">
        <v>2086</v>
      </c>
      <c r="E347" s="23" t="s">
        <v>514</v>
      </c>
      <c r="F347" s="23" t="s">
        <v>503</v>
      </c>
      <c r="G347" s="23" t="s">
        <v>88</v>
      </c>
      <c r="H347" s="23" t="s">
        <v>508</v>
      </c>
      <c r="I347" s="23" t="s">
        <v>96</v>
      </c>
      <c r="J347" s="23" t="s">
        <v>910</v>
      </c>
      <c r="K347" s="23" t="s">
        <v>1469</v>
      </c>
      <c r="L347" s="23" t="s">
        <v>573</v>
      </c>
      <c r="M347" s="23" t="s">
        <v>1888</v>
      </c>
      <c r="N347" s="23" t="s">
        <v>920</v>
      </c>
      <c r="O347" s="23">
        <v>15000</v>
      </c>
      <c r="P347" s="29" t="s">
        <v>879</v>
      </c>
      <c r="Q347" s="23" t="s">
        <v>2102</v>
      </c>
      <c r="R347" s="23"/>
      <c r="S347" s="23" t="s">
        <v>2070</v>
      </c>
    </row>
    <row r="348" spans="1:19" ht="28.8" x14ac:dyDescent="0.3">
      <c r="A348" s="23" t="s">
        <v>2103</v>
      </c>
      <c r="B348" s="23" t="s">
        <v>512</v>
      </c>
      <c r="C348" s="23" t="s">
        <v>498</v>
      </c>
      <c r="D348" s="23" t="s">
        <v>2086</v>
      </c>
      <c r="E348" s="23" t="s">
        <v>514</v>
      </c>
      <c r="F348" s="23" t="s">
        <v>503</v>
      </c>
      <c r="G348" s="23" t="s">
        <v>88</v>
      </c>
      <c r="H348" s="23" t="s">
        <v>508</v>
      </c>
      <c r="I348" s="23" t="s">
        <v>96</v>
      </c>
      <c r="J348" s="23" t="s">
        <v>573</v>
      </c>
      <c r="K348" s="23" t="s">
        <v>1984</v>
      </c>
      <c r="L348" s="23" t="s">
        <v>2104</v>
      </c>
      <c r="M348" s="23" t="s">
        <v>902</v>
      </c>
      <c r="N348" s="23" t="s">
        <v>219</v>
      </c>
      <c r="O348" s="23">
        <v>20000</v>
      </c>
      <c r="P348" s="29" t="s">
        <v>879</v>
      </c>
      <c r="Q348" s="23" t="s">
        <v>2105</v>
      </c>
      <c r="R348" s="23"/>
      <c r="S348" s="23" t="s">
        <v>2063</v>
      </c>
    </row>
    <row r="349" spans="1:19" ht="28.8" x14ac:dyDescent="0.3">
      <c r="A349" s="23" t="s">
        <v>2106</v>
      </c>
      <c r="B349" s="23" t="s">
        <v>512</v>
      </c>
      <c r="C349" s="23" t="s">
        <v>498</v>
      </c>
      <c r="D349" s="23" t="s">
        <v>2086</v>
      </c>
      <c r="E349" s="23" t="s">
        <v>514</v>
      </c>
      <c r="F349" s="23" t="s">
        <v>503</v>
      </c>
      <c r="G349" s="23" t="s">
        <v>88</v>
      </c>
      <c r="H349" s="23" t="s">
        <v>508</v>
      </c>
      <c r="I349" s="23" t="s">
        <v>96</v>
      </c>
      <c r="J349" s="23" t="s">
        <v>2104</v>
      </c>
      <c r="K349" s="23" t="s">
        <v>915</v>
      </c>
      <c r="L349" s="23" t="s">
        <v>2107</v>
      </c>
      <c r="M349" s="23" t="s">
        <v>1888</v>
      </c>
      <c r="N349" s="23" t="s">
        <v>111</v>
      </c>
      <c r="O349" s="23">
        <v>35000</v>
      </c>
      <c r="P349" s="29" t="s">
        <v>879</v>
      </c>
      <c r="Q349" s="23" t="s">
        <v>2108</v>
      </c>
      <c r="R349" s="23" t="s">
        <v>945</v>
      </c>
      <c r="S349" s="23" t="s">
        <v>2070</v>
      </c>
    </row>
    <row r="350" spans="1:19" ht="28.8" x14ac:dyDescent="0.3">
      <c r="A350" s="23" t="s">
        <v>2109</v>
      </c>
      <c r="B350" s="23" t="s">
        <v>512</v>
      </c>
      <c r="C350" s="23" t="s">
        <v>498</v>
      </c>
      <c r="D350" s="23" t="s">
        <v>2086</v>
      </c>
      <c r="E350" s="23" t="s">
        <v>514</v>
      </c>
      <c r="F350" s="23" t="s">
        <v>503</v>
      </c>
      <c r="G350" s="23" t="s">
        <v>88</v>
      </c>
      <c r="H350" s="23" t="s">
        <v>508</v>
      </c>
      <c r="I350" s="23" t="s">
        <v>96</v>
      </c>
      <c r="J350" s="23" t="s">
        <v>2107</v>
      </c>
      <c r="K350" s="23" t="s">
        <v>2110</v>
      </c>
      <c r="L350" s="23" t="s">
        <v>2111</v>
      </c>
      <c r="M350" s="23" t="s">
        <v>1888</v>
      </c>
      <c r="N350" s="23" t="s">
        <v>929</v>
      </c>
      <c r="O350" s="23">
        <v>35000</v>
      </c>
      <c r="P350" s="29" t="s">
        <v>879</v>
      </c>
      <c r="Q350" s="23" t="s">
        <v>2112</v>
      </c>
      <c r="R350" s="23"/>
      <c r="S350" s="23" t="s">
        <v>2054</v>
      </c>
    </row>
    <row r="351" spans="1:19" ht="28.8" x14ac:dyDescent="0.3">
      <c r="A351" s="23" t="s">
        <v>2113</v>
      </c>
      <c r="B351" s="23" t="s">
        <v>512</v>
      </c>
      <c r="C351" s="23" t="s">
        <v>498</v>
      </c>
      <c r="D351" s="23" t="s">
        <v>2086</v>
      </c>
      <c r="E351" s="23" t="s">
        <v>514</v>
      </c>
      <c r="F351" s="23" t="s">
        <v>503</v>
      </c>
      <c r="G351" s="23" t="s">
        <v>88</v>
      </c>
      <c r="H351" s="23" t="s">
        <v>508</v>
      </c>
      <c r="I351" s="23" t="s">
        <v>96</v>
      </c>
      <c r="J351" s="23" t="s">
        <v>2114</v>
      </c>
      <c r="K351" s="23" t="s">
        <v>439</v>
      </c>
      <c r="L351" s="23" t="s">
        <v>1486</v>
      </c>
      <c r="M351" s="23" t="s">
        <v>902</v>
      </c>
      <c r="N351" s="23" t="s">
        <v>219</v>
      </c>
      <c r="O351" s="23">
        <v>20000</v>
      </c>
      <c r="P351" s="29" t="s">
        <v>879</v>
      </c>
      <c r="Q351" s="23" t="s">
        <v>2115</v>
      </c>
      <c r="R351" s="23"/>
      <c r="S351" s="23" t="s">
        <v>2063</v>
      </c>
    </row>
    <row r="352" spans="1:19" ht="28.8" x14ac:dyDescent="0.3">
      <c r="A352" s="23" t="s">
        <v>2116</v>
      </c>
      <c r="B352" s="23" t="s">
        <v>512</v>
      </c>
      <c r="C352" s="23" t="s">
        <v>498</v>
      </c>
      <c r="D352" s="23" t="s">
        <v>2086</v>
      </c>
      <c r="E352" s="23" t="s">
        <v>514</v>
      </c>
      <c r="F352" s="23" t="s">
        <v>503</v>
      </c>
      <c r="G352" s="23" t="s">
        <v>88</v>
      </c>
      <c r="H352" s="23" t="s">
        <v>508</v>
      </c>
      <c r="I352" s="23" t="s">
        <v>96</v>
      </c>
      <c r="J352" s="23" t="s">
        <v>1486</v>
      </c>
      <c r="K352" s="23" t="s">
        <v>2117</v>
      </c>
      <c r="L352" s="23" t="s">
        <v>941</v>
      </c>
      <c r="M352" s="23" t="s">
        <v>878</v>
      </c>
      <c r="N352" s="23" t="s">
        <v>896</v>
      </c>
      <c r="O352" s="23">
        <v>20000</v>
      </c>
      <c r="P352" s="29" t="s">
        <v>879</v>
      </c>
      <c r="Q352" s="23" t="s">
        <v>2118</v>
      </c>
      <c r="R352" s="23"/>
      <c r="S352" s="23" t="s">
        <v>2063</v>
      </c>
    </row>
    <row r="353" spans="1:19" ht="28.8" x14ac:dyDescent="0.3">
      <c r="A353" s="23" t="s">
        <v>2119</v>
      </c>
      <c r="B353" s="23" t="s">
        <v>512</v>
      </c>
      <c r="C353" s="23" t="s">
        <v>498</v>
      </c>
      <c r="D353" s="23" t="s">
        <v>2086</v>
      </c>
      <c r="E353" s="23" t="s">
        <v>514</v>
      </c>
      <c r="F353" s="23" t="s">
        <v>503</v>
      </c>
      <c r="G353" s="23" t="s">
        <v>88</v>
      </c>
      <c r="H353" s="23" t="s">
        <v>508</v>
      </c>
      <c r="I353" s="23" t="s">
        <v>96</v>
      </c>
      <c r="J353" s="23" t="s">
        <v>941</v>
      </c>
      <c r="K353" s="23" t="s">
        <v>2120</v>
      </c>
      <c r="L353" s="23" t="s">
        <v>2121</v>
      </c>
      <c r="M353" s="23" t="s">
        <v>878</v>
      </c>
      <c r="N353" s="23" t="s">
        <v>168</v>
      </c>
      <c r="O353" s="23">
        <v>15000</v>
      </c>
      <c r="P353" s="29" t="s">
        <v>879</v>
      </c>
      <c r="Q353" s="23" t="s">
        <v>2122</v>
      </c>
      <c r="R353" s="23"/>
      <c r="S353" s="23" t="s">
        <v>2058</v>
      </c>
    </row>
    <row r="354" spans="1:19" ht="28.8" x14ac:dyDescent="0.3">
      <c r="A354" s="23" t="s">
        <v>2123</v>
      </c>
      <c r="B354" s="23" t="s">
        <v>512</v>
      </c>
      <c r="C354" s="23" t="s">
        <v>498</v>
      </c>
      <c r="D354" s="23" t="s">
        <v>2086</v>
      </c>
      <c r="E354" s="23" t="s">
        <v>514</v>
      </c>
      <c r="F354" s="23" t="s">
        <v>503</v>
      </c>
      <c r="G354" s="23" t="s">
        <v>88</v>
      </c>
      <c r="H354" s="23" t="s">
        <v>508</v>
      </c>
      <c r="I354" s="23" t="s">
        <v>96</v>
      </c>
      <c r="J354" s="23" t="s">
        <v>2121</v>
      </c>
      <c r="K354" s="23" t="s">
        <v>518</v>
      </c>
      <c r="L354" s="23" t="s">
        <v>519</v>
      </c>
      <c r="M354" s="23" t="s">
        <v>878</v>
      </c>
      <c r="N354" s="23" t="s">
        <v>896</v>
      </c>
      <c r="O354" s="23">
        <v>35000</v>
      </c>
      <c r="P354" s="29" t="s">
        <v>879</v>
      </c>
      <c r="Q354" s="23" t="s">
        <v>2124</v>
      </c>
      <c r="R354" s="23"/>
      <c r="S354" s="23" t="s">
        <v>2063</v>
      </c>
    </row>
    <row r="355" spans="1:19" ht="28.8" x14ac:dyDescent="0.3">
      <c r="A355" s="23" t="s">
        <v>2125</v>
      </c>
      <c r="B355" s="23" t="s">
        <v>512</v>
      </c>
      <c r="C355" s="23" t="s">
        <v>498</v>
      </c>
      <c r="D355" s="23" t="s">
        <v>2086</v>
      </c>
      <c r="E355" s="23" t="s">
        <v>514</v>
      </c>
      <c r="F355" s="23" t="s">
        <v>503</v>
      </c>
      <c r="G355" s="23" t="s">
        <v>88</v>
      </c>
      <c r="H355" s="23" t="s">
        <v>508</v>
      </c>
      <c r="I355" s="23" t="s">
        <v>96</v>
      </c>
      <c r="J355" s="23" t="s">
        <v>519</v>
      </c>
      <c r="K355" s="23"/>
      <c r="L355" s="23" t="s">
        <v>2126</v>
      </c>
      <c r="M355" s="23" t="s">
        <v>902</v>
      </c>
      <c r="N355" s="23" t="s">
        <v>168</v>
      </c>
      <c r="O355" s="23">
        <v>0</v>
      </c>
      <c r="P355" s="30" t="s">
        <v>948</v>
      </c>
      <c r="Q355" s="23" t="s">
        <v>2127</v>
      </c>
      <c r="R355" s="23"/>
      <c r="S355" s="23" t="s">
        <v>1066</v>
      </c>
    </row>
    <row r="356" spans="1:19" ht="28.8" x14ac:dyDescent="0.3">
      <c r="A356" s="23" t="s">
        <v>2128</v>
      </c>
      <c r="B356" s="23" t="s">
        <v>523</v>
      </c>
      <c r="C356" s="23" t="s">
        <v>498</v>
      </c>
      <c r="D356" s="23" t="s">
        <v>2129</v>
      </c>
      <c r="E356" s="23" t="s">
        <v>526</v>
      </c>
      <c r="F356" s="23" t="s">
        <v>503</v>
      </c>
      <c r="G356" s="23" t="s">
        <v>175</v>
      </c>
      <c r="H356" s="23" t="s">
        <v>508</v>
      </c>
      <c r="I356" s="23" t="s">
        <v>96</v>
      </c>
      <c r="J356" s="23" t="s">
        <v>2130</v>
      </c>
      <c r="K356" s="23" t="s">
        <v>1512</v>
      </c>
      <c r="L356" s="23" t="s">
        <v>2131</v>
      </c>
      <c r="M356" s="23" t="s">
        <v>1888</v>
      </c>
      <c r="N356" s="23" t="s">
        <v>896</v>
      </c>
      <c r="O356" s="23">
        <v>15000</v>
      </c>
      <c r="P356" s="29" t="s">
        <v>879</v>
      </c>
      <c r="Q356" s="23" t="s">
        <v>2132</v>
      </c>
      <c r="R356" s="23"/>
      <c r="S356" s="23" t="s">
        <v>2063</v>
      </c>
    </row>
    <row r="357" spans="1:19" ht="28.8" x14ac:dyDescent="0.3">
      <c r="A357" s="23" t="s">
        <v>2133</v>
      </c>
      <c r="B357" s="23" t="s">
        <v>523</v>
      </c>
      <c r="C357" s="23" t="s">
        <v>498</v>
      </c>
      <c r="D357" s="23" t="s">
        <v>2129</v>
      </c>
      <c r="E357" s="23" t="s">
        <v>526</v>
      </c>
      <c r="F357" s="23" t="s">
        <v>503</v>
      </c>
      <c r="G357" s="23" t="s">
        <v>175</v>
      </c>
      <c r="H357" s="23" t="s">
        <v>508</v>
      </c>
      <c r="I357" s="23" t="s">
        <v>96</v>
      </c>
      <c r="J357" s="23" t="s">
        <v>2131</v>
      </c>
      <c r="K357" s="23" t="s">
        <v>2134</v>
      </c>
      <c r="L357" s="23" t="s">
        <v>2135</v>
      </c>
      <c r="M357" s="23" t="s">
        <v>1888</v>
      </c>
      <c r="N357" s="23" t="s">
        <v>168</v>
      </c>
      <c r="O357" s="23">
        <v>20000</v>
      </c>
      <c r="P357" s="29" t="s">
        <v>879</v>
      </c>
      <c r="Q357" s="23" t="s">
        <v>2136</v>
      </c>
      <c r="R357" s="23"/>
      <c r="S357" s="23" t="s">
        <v>2070</v>
      </c>
    </row>
    <row r="358" spans="1:19" ht="28.8" x14ac:dyDescent="0.3">
      <c r="A358" s="23" t="s">
        <v>2137</v>
      </c>
      <c r="B358" s="23" t="s">
        <v>523</v>
      </c>
      <c r="C358" s="23" t="s">
        <v>498</v>
      </c>
      <c r="D358" s="23" t="s">
        <v>2129</v>
      </c>
      <c r="E358" s="23" t="s">
        <v>526</v>
      </c>
      <c r="F358" s="23" t="s">
        <v>503</v>
      </c>
      <c r="G358" s="23" t="s">
        <v>175</v>
      </c>
      <c r="H358" s="23" t="s">
        <v>508</v>
      </c>
      <c r="I358" s="23" t="s">
        <v>96</v>
      </c>
      <c r="J358" s="23" t="s">
        <v>2135</v>
      </c>
      <c r="K358" s="23" t="s">
        <v>2138</v>
      </c>
      <c r="L358" s="23" t="s">
        <v>2139</v>
      </c>
      <c r="M358" s="23" t="s">
        <v>878</v>
      </c>
      <c r="N358" s="23" t="s">
        <v>111</v>
      </c>
      <c r="O358" s="23">
        <v>20000</v>
      </c>
      <c r="P358" s="29" t="s">
        <v>879</v>
      </c>
      <c r="Q358" s="23" t="s">
        <v>2140</v>
      </c>
      <c r="R358" s="23"/>
      <c r="S358" s="23" t="s">
        <v>2054</v>
      </c>
    </row>
    <row r="359" spans="1:19" ht="28.8" x14ac:dyDescent="0.3">
      <c r="A359" s="23" t="s">
        <v>2141</v>
      </c>
      <c r="B359" s="23" t="s">
        <v>523</v>
      </c>
      <c r="C359" s="23" t="s">
        <v>498</v>
      </c>
      <c r="D359" s="23" t="s">
        <v>2129</v>
      </c>
      <c r="E359" s="23" t="s">
        <v>526</v>
      </c>
      <c r="F359" s="23" t="s">
        <v>503</v>
      </c>
      <c r="G359" s="23" t="s">
        <v>175</v>
      </c>
      <c r="H359" s="23" t="s">
        <v>508</v>
      </c>
      <c r="I359" s="23" t="s">
        <v>96</v>
      </c>
      <c r="J359" s="23" t="s">
        <v>2139</v>
      </c>
      <c r="K359" s="23" t="s">
        <v>2142</v>
      </c>
      <c r="L359" s="23" t="s">
        <v>2143</v>
      </c>
      <c r="M359" s="23" t="s">
        <v>1888</v>
      </c>
      <c r="N359" s="23" t="s">
        <v>168</v>
      </c>
      <c r="O359" s="23">
        <v>15000</v>
      </c>
      <c r="P359" s="29" t="s">
        <v>879</v>
      </c>
      <c r="Q359" s="23" t="s">
        <v>2144</v>
      </c>
      <c r="R359" s="23"/>
      <c r="S359" s="23" t="s">
        <v>2054</v>
      </c>
    </row>
    <row r="360" spans="1:19" ht="28.8" x14ac:dyDescent="0.3">
      <c r="A360" s="23" t="s">
        <v>2145</v>
      </c>
      <c r="B360" s="23" t="s">
        <v>523</v>
      </c>
      <c r="C360" s="23" t="s">
        <v>498</v>
      </c>
      <c r="D360" s="23" t="s">
        <v>2129</v>
      </c>
      <c r="E360" s="23" t="s">
        <v>526</v>
      </c>
      <c r="F360" s="23" t="s">
        <v>503</v>
      </c>
      <c r="G360" s="23" t="s">
        <v>175</v>
      </c>
      <c r="H360" s="23" t="s">
        <v>508</v>
      </c>
      <c r="I360" s="23" t="s">
        <v>96</v>
      </c>
      <c r="J360" s="23" t="s">
        <v>2143</v>
      </c>
      <c r="K360" s="23" t="s">
        <v>2143</v>
      </c>
      <c r="L360" s="23" t="s">
        <v>2146</v>
      </c>
      <c r="M360" s="23" t="s">
        <v>878</v>
      </c>
      <c r="N360" s="23" t="s">
        <v>929</v>
      </c>
      <c r="O360" s="23">
        <v>15000</v>
      </c>
      <c r="P360" s="29" t="s">
        <v>879</v>
      </c>
      <c r="Q360" s="23" t="s">
        <v>2147</v>
      </c>
      <c r="R360" s="23"/>
      <c r="S360" s="23" t="s">
        <v>2070</v>
      </c>
    </row>
    <row r="361" spans="1:19" ht="28.8" x14ac:dyDescent="0.3">
      <c r="A361" s="23" t="s">
        <v>2148</v>
      </c>
      <c r="B361" s="23" t="s">
        <v>523</v>
      </c>
      <c r="C361" s="23" t="s">
        <v>498</v>
      </c>
      <c r="D361" s="23" t="s">
        <v>2129</v>
      </c>
      <c r="E361" s="23" t="s">
        <v>526</v>
      </c>
      <c r="F361" s="23" t="s">
        <v>503</v>
      </c>
      <c r="G361" s="23" t="s">
        <v>175</v>
      </c>
      <c r="H361" s="23" t="s">
        <v>508</v>
      </c>
      <c r="I361" s="23" t="s">
        <v>96</v>
      </c>
      <c r="J361" s="23" t="s">
        <v>2146</v>
      </c>
      <c r="K361" s="23" t="s">
        <v>530</v>
      </c>
      <c r="L361" s="23" t="s">
        <v>262</v>
      </c>
      <c r="M361" s="23" t="s">
        <v>1888</v>
      </c>
      <c r="N361" s="23" t="s">
        <v>896</v>
      </c>
      <c r="O361" s="23">
        <v>20000</v>
      </c>
      <c r="P361" s="29" t="s">
        <v>879</v>
      </c>
      <c r="Q361" s="23" t="s">
        <v>2149</v>
      </c>
      <c r="R361" s="23"/>
      <c r="S361" s="23" t="s">
        <v>2070</v>
      </c>
    </row>
    <row r="362" spans="1:19" ht="28.8" x14ac:dyDescent="0.3">
      <c r="A362" s="23" t="s">
        <v>2150</v>
      </c>
      <c r="B362" s="23" t="s">
        <v>523</v>
      </c>
      <c r="C362" s="23" t="s">
        <v>498</v>
      </c>
      <c r="D362" s="23" t="s">
        <v>2129</v>
      </c>
      <c r="E362" s="23" t="s">
        <v>526</v>
      </c>
      <c r="F362" s="23" t="s">
        <v>503</v>
      </c>
      <c r="G362" s="23" t="s">
        <v>175</v>
      </c>
      <c r="H362" s="23" t="s">
        <v>508</v>
      </c>
      <c r="I362" s="23" t="s">
        <v>96</v>
      </c>
      <c r="J362" s="23" t="s">
        <v>531</v>
      </c>
      <c r="K362" s="23"/>
      <c r="L362" s="23" t="s">
        <v>375</v>
      </c>
      <c r="M362" s="23" t="s">
        <v>902</v>
      </c>
      <c r="N362" s="23" t="s">
        <v>920</v>
      </c>
      <c r="O362" s="23">
        <v>0</v>
      </c>
      <c r="P362" s="30" t="s">
        <v>948</v>
      </c>
      <c r="Q362" s="23" t="s">
        <v>2151</v>
      </c>
      <c r="R362" s="23"/>
      <c r="S362" s="23" t="s">
        <v>950</v>
      </c>
    </row>
    <row r="363" spans="1:19" ht="28.8" x14ac:dyDescent="0.3">
      <c r="A363" s="23" t="s">
        <v>2152</v>
      </c>
      <c r="B363" s="23" t="s">
        <v>535</v>
      </c>
      <c r="C363" s="23" t="s">
        <v>536</v>
      </c>
      <c r="D363" s="23" t="s">
        <v>2153</v>
      </c>
      <c r="E363" s="23" t="s">
        <v>540</v>
      </c>
      <c r="F363" s="23" t="s">
        <v>475</v>
      </c>
      <c r="G363" s="23" t="s">
        <v>477</v>
      </c>
      <c r="H363" s="23" t="s">
        <v>545</v>
      </c>
      <c r="I363" s="23" t="s">
        <v>482</v>
      </c>
      <c r="J363" s="23" t="s">
        <v>2154</v>
      </c>
      <c r="K363" s="23" t="s">
        <v>2155</v>
      </c>
      <c r="L363" s="23" t="s">
        <v>1195</v>
      </c>
      <c r="M363" s="23" t="s">
        <v>878</v>
      </c>
      <c r="N363" s="23" t="s">
        <v>896</v>
      </c>
      <c r="O363" s="23">
        <v>50000</v>
      </c>
      <c r="P363" s="29" t="s">
        <v>879</v>
      </c>
      <c r="Q363" s="23" t="s">
        <v>2156</v>
      </c>
      <c r="R363" s="23"/>
      <c r="S363" s="23" t="s">
        <v>2157</v>
      </c>
    </row>
    <row r="364" spans="1:19" ht="28.8" x14ac:dyDescent="0.3">
      <c r="A364" s="23" t="s">
        <v>2158</v>
      </c>
      <c r="B364" s="23" t="s">
        <v>535</v>
      </c>
      <c r="C364" s="23" t="s">
        <v>536</v>
      </c>
      <c r="D364" s="23" t="s">
        <v>2153</v>
      </c>
      <c r="E364" s="23" t="s">
        <v>540</v>
      </c>
      <c r="F364" s="23" t="s">
        <v>475</v>
      </c>
      <c r="G364" s="23" t="s">
        <v>477</v>
      </c>
      <c r="H364" s="23" t="s">
        <v>545</v>
      </c>
      <c r="I364" s="23" t="s">
        <v>482</v>
      </c>
      <c r="J364" s="23" t="s">
        <v>1195</v>
      </c>
      <c r="K364" s="23" t="s">
        <v>2159</v>
      </c>
      <c r="L364" s="23" t="s">
        <v>2160</v>
      </c>
      <c r="M364" s="23" t="s">
        <v>138</v>
      </c>
      <c r="N364" s="23" t="s">
        <v>111</v>
      </c>
      <c r="O364" s="23">
        <v>75000</v>
      </c>
      <c r="P364" s="29" t="s">
        <v>879</v>
      </c>
      <c r="Q364" s="23" t="s">
        <v>2161</v>
      </c>
      <c r="R364" s="23" t="s">
        <v>938</v>
      </c>
      <c r="S364" s="23" t="s">
        <v>2157</v>
      </c>
    </row>
    <row r="365" spans="1:19" ht="28.8" x14ac:dyDescent="0.3">
      <c r="A365" s="23" t="s">
        <v>2162</v>
      </c>
      <c r="B365" s="23" t="s">
        <v>535</v>
      </c>
      <c r="C365" s="23" t="s">
        <v>536</v>
      </c>
      <c r="D365" s="23" t="s">
        <v>2153</v>
      </c>
      <c r="E365" s="23" t="s">
        <v>540</v>
      </c>
      <c r="F365" s="23" t="s">
        <v>475</v>
      </c>
      <c r="G365" s="23" t="s">
        <v>477</v>
      </c>
      <c r="H365" s="23" t="s">
        <v>545</v>
      </c>
      <c r="I365" s="23" t="s">
        <v>482</v>
      </c>
      <c r="J365" s="23" t="s">
        <v>2160</v>
      </c>
      <c r="K365" s="23" t="s">
        <v>2163</v>
      </c>
      <c r="L365" s="23" t="s">
        <v>2164</v>
      </c>
      <c r="M365" s="23" t="s">
        <v>2165</v>
      </c>
      <c r="N365" s="23" t="s">
        <v>131</v>
      </c>
      <c r="O365" s="23">
        <v>50000</v>
      </c>
      <c r="P365" s="29" t="s">
        <v>879</v>
      </c>
      <c r="Q365" s="23" t="s">
        <v>2166</v>
      </c>
      <c r="R365" s="23"/>
      <c r="S365" s="23" t="s">
        <v>2167</v>
      </c>
    </row>
    <row r="366" spans="1:19" ht="28.8" x14ac:dyDescent="0.3">
      <c r="A366" s="23" t="s">
        <v>2168</v>
      </c>
      <c r="B366" s="23" t="s">
        <v>535</v>
      </c>
      <c r="C366" s="23" t="s">
        <v>536</v>
      </c>
      <c r="D366" s="23" t="s">
        <v>2153</v>
      </c>
      <c r="E366" s="23" t="s">
        <v>540</v>
      </c>
      <c r="F366" s="23" t="s">
        <v>475</v>
      </c>
      <c r="G366" s="23" t="s">
        <v>477</v>
      </c>
      <c r="H366" s="23" t="s">
        <v>545</v>
      </c>
      <c r="I366" s="23" t="s">
        <v>482</v>
      </c>
      <c r="J366" s="23" t="s">
        <v>2164</v>
      </c>
      <c r="K366" s="23" t="s">
        <v>2169</v>
      </c>
      <c r="L366" s="23" t="s">
        <v>504</v>
      </c>
      <c r="M366" s="23" t="s">
        <v>138</v>
      </c>
      <c r="N366" s="23" t="s">
        <v>131</v>
      </c>
      <c r="O366" s="23">
        <v>75000</v>
      </c>
      <c r="P366" s="29" t="s">
        <v>879</v>
      </c>
      <c r="Q366" s="23" t="s">
        <v>2170</v>
      </c>
      <c r="R366" s="23"/>
      <c r="S366" s="23" t="s">
        <v>2171</v>
      </c>
    </row>
    <row r="367" spans="1:19" ht="28.8" x14ac:dyDescent="0.3">
      <c r="A367" s="23" t="s">
        <v>2172</v>
      </c>
      <c r="B367" s="23" t="s">
        <v>535</v>
      </c>
      <c r="C367" s="23" t="s">
        <v>536</v>
      </c>
      <c r="D367" s="23" t="s">
        <v>2153</v>
      </c>
      <c r="E367" s="23" t="s">
        <v>540</v>
      </c>
      <c r="F367" s="23" t="s">
        <v>475</v>
      </c>
      <c r="G367" s="23" t="s">
        <v>477</v>
      </c>
      <c r="H367" s="23" t="s">
        <v>545</v>
      </c>
      <c r="I367" s="23" t="s">
        <v>482</v>
      </c>
      <c r="J367" s="23" t="s">
        <v>504</v>
      </c>
      <c r="K367" s="23" t="s">
        <v>1357</v>
      </c>
      <c r="L367" s="23" t="s">
        <v>2173</v>
      </c>
      <c r="M367" s="23" t="s">
        <v>2165</v>
      </c>
      <c r="N367" s="23" t="s">
        <v>168</v>
      </c>
      <c r="O367" s="23">
        <v>65000</v>
      </c>
      <c r="P367" s="29" t="s">
        <v>879</v>
      </c>
      <c r="Q367" s="23" t="s">
        <v>2174</v>
      </c>
      <c r="R367" s="23"/>
      <c r="S367" s="23" t="s">
        <v>2157</v>
      </c>
    </row>
    <row r="368" spans="1:19" ht="28.8" x14ac:dyDescent="0.3">
      <c r="A368" s="23" t="s">
        <v>2175</v>
      </c>
      <c r="B368" s="23" t="s">
        <v>535</v>
      </c>
      <c r="C368" s="23" t="s">
        <v>536</v>
      </c>
      <c r="D368" s="23" t="s">
        <v>2153</v>
      </c>
      <c r="E368" s="23" t="s">
        <v>540</v>
      </c>
      <c r="F368" s="23" t="s">
        <v>475</v>
      </c>
      <c r="G368" s="23" t="s">
        <v>477</v>
      </c>
      <c r="H368" s="23" t="s">
        <v>545</v>
      </c>
      <c r="I368" s="23" t="s">
        <v>482</v>
      </c>
      <c r="J368" s="23" t="s">
        <v>2173</v>
      </c>
      <c r="K368" s="23" t="s">
        <v>1730</v>
      </c>
      <c r="L368" s="23" t="s">
        <v>2176</v>
      </c>
      <c r="M368" s="23" t="s">
        <v>138</v>
      </c>
      <c r="N368" s="23" t="s">
        <v>896</v>
      </c>
      <c r="O368" s="23">
        <v>75000</v>
      </c>
      <c r="P368" s="29" t="s">
        <v>879</v>
      </c>
      <c r="Q368" s="23" t="s">
        <v>2177</v>
      </c>
      <c r="R368" s="23"/>
      <c r="S368" s="23" t="s">
        <v>2171</v>
      </c>
    </row>
    <row r="369" spans="1:19" ht="28.8" x14ac:dyDescent="0.3">
      <c r="A369" s="23" t="s">
        <v>2178</v>
      </c>
      <c r="B369" s="23" t="s">
        <v>535</v>
      </c>
      <c r="C369" s="23" t="s">
        <v>536</v>
      </c>
      <c r="D369" s="23" t="s">
        <v>2153</v>
      </c>
      <c r="E369" s="23" t="s">
        <v>540</v>
      </c>
      <c r="F369" s="23" t="s">
        <v>475</v>
      </c>
      <c r="G369" s="23" t="s">
        <v>477</v>
      </c>
      <c r="H369" s="23" t="s">
        <v>545</v>
      </c>
      <c r="I369" s="23" t="s">
        <v>482</v>
      </c>
      <c r="J369" s="23" t="s">
        <v>2176</v>
      </c>
      <c r="K369" s="23" t="s">
        <v>2179</v>
      </c>
      <c r="L369" s="23" t="s">
        <v>1201</v>
      </c>
      <c r="M369" s="23" t="s">
        <v>2165</v>
      </c>
      <c r="N369" s="23" t="s">
        <v>111</v>
      </c>
      <c r="O369" s="23">
        <v>50000</v>
      </c>
      <c r="P369" s="29" t="s">
        <v>879</v>
      </c>
      <c r="Q369" s="23" t="s">
        <v>2180</v>
      </c>
      <c r="R369" s="23"/>
      <c r="S369" s="23" t="s">
        <v>2167</v>
      </c>
    </row>
    <row r="370" spans="1:19" ht="28.8" x14ac:dyDescent="0.3">
      <c r="A370" s="23" t="s">
        <v>2181</v>
      </c>
      <c r="B370" s="23" t="s">
        <v>535</v>
      </c>
      <c r="C370" s="23" t="s">
        <v>536</v>
      </c>
      <c r="D370" s="23" t="s">
        <v>2153</v>
      </c>
      <c r="E370" s="23" t="s">
        <v>540</v>
      </c>
      <c r="F370" s="23" t="s">
        <v>475</v>
      </c>
      <c r="G370" s="23" t="s">
        <v>477</v>
      </c>
      <c r="H370" s="23" t="s">
        <v>545</v>
      </c>
      <c r="I370" s="23" t="s">
        <v>482</v>
      </c>
      <c r="J370" s="23" t="s">
        <v>1201</v>
      </c>
      <c r="K370" s="23" t="s">
        <v>2182</v>
      </c>
      <c r="L370" s="23" t="s">
        <v>1302</v>
      </c>
      <c r="M370" s="23" t="s">
        <v>878</v>
      </c>
      <c r="N370" s="23" t="s">
        <v>929</v>
      </c>
      <c r="O370" s="23">
        <v>75000</v>
      </c>
      <c r="P370" s="29" t="s">
        <v>879</v>
      </c>
      <c r="Q370" s="23" t="s">
        <v>2183</v>
      </c>
      <c r="R370" s="23"/>
      <c r="S370" s="23" t="s">
        <v>2157</v>
      </c>
    </row>
    <row r="371" spans="1:19" ht="28.8" x14ac:dyDescent="0.3">
      <c r="A371" s="23" t="s">
        <v>2184</v>
      </c>
      <c r="B371" s="23" t="s">
        <v>535</v>
      </c>
      <c r="C371" s="23" t="s">
        <v>536</v>
      </c>
      <c r="D371" s="23" t="s">
        <v>2153</v>
      </c>
      <c r="E371" s="23" t="s">
        <v>540</v>
      </c>
      <c r="F371" s="23" t="s">
        <v>475</v>
      </c>
      <c r="G371" s="23" t="s">
        <v>477</v>
      </c>
      <c r="H371" s="23" t="s">
        <v>545</v>
      </c>
      <c r="I371" s="23" t="s">
        <v>482</v>
      </c>
      <c r="J371" s="23" t="s">
        <v>1302</v>
      </c>
      <c r="K371" s="23" t="s">
        <v>2185</v>
      </c>
      <c r="L371" s="23" t="s">
        <v>2186</v>
      </c>
      <c r="M371" s="23" t="s">
        <v>138</v>
      </c>
      <c r="N371" s="23" t="s">
        <v>219</v>
      </c>
      <c r="O371" s="23">
        <v>65000</v>
      </c>
      <c r="P371" s="29" t="s">
        <v>879</v>
      </c>
      <c r="Q371" s="23" t="s">
        <v>2187</v>
      </c>
      <c r="R371" s="23"/>
      <c r="S371" s="23" t="s">
        <v>2171</v>
      </c>
    </row>
    <row r="372" spans="1:19" ht="28.8" x14ac:dyDescent="0.3">
      <c r="A372" s="23" t="s">
        <v>2188</v>
      </c>
      <c r="B372" s="23" t="s">
        <v>535</v>
      </c>
      <c r="C372" s="23" t="s">
        <v>536</v>
      </c>
      <c r="D372" s="23" t="s">
        <v>2153</v>
      </c>
      <c r="E372" s="23" t="s">
        <v>540</v>
      </c>
      <c r="F372" s="23" t="s">
        <v>475</v>
      </c>
      <c r="G372" s="23" t="s">
        <v>477</v>
      </c>
      <c r="H372" s="23" t="s">
        <v>545</v>
      </c>
      <c r="I372" s="23" t="s">
        <v>482</v>
      </c>
      <c r="J372" s="23" t="s">
        <v>2186</v>
      </c>
      <c r="K372" s="23" t="s">
        <v>2189</v>
      </c>
      <c r="L372" s="23" t="s">
        <v>1203</v>
      </c>
      <c r="M372" s="23" t="s">
        <v>138</v>
      </c>
      <c r="N372" s="23" t="s">
        <v>219</v>
      </c>
      <c r="O372" s="23">
        <v>75000</v>
      </c>
      <c r="P372" s="29" t="s">
        <v>879</v>
      </c>
      <c r="Q372" s="23" t="s">
        <v>2190</v>
      </c>
      <c r="R372" s="23"/>
      <c r="S372" s="23" t="s">
        <v>2167</v>
      </c>
    </row>
    <row r="373" spans="1:19" ht="28.8" x14ac:dyDescent="0.3">
      <c r="A373" s="23" t="s">
        <v>2191</v>
      </c>
      <c r="B373" s="23" t="s">
        <v>535</v>
      </c>
      <c r="C373" s="23" t="s">
        <v>536</v>
      </c>
      <c r="D373" s="23" t="s">
        <v>2153</v>
      </c>
      <c r="E373" s="23" t="s">
        <v>540</v>
      </c>
      <c r="F373" s="23" t="s">
        <v>475</v>
      </c>
      <c r="G373" s="23" t="s">
        <v>477</v>
      </c>
      <c r="H373" s="23" t="s">
        <v>545</v>
      </c>
      <c r="I373" s="23" t="s">
        <v>482</v>
      </c>
      <c r="J373" s="23" t="s">
        <v>1203</v>
      </c>
      <c r="K373" s="23" t="s">
        <v>1365</v>
      </c>
      <c r="L373" s="23" t="s">
        <v>2192</v>
      </c>
      <c r="M373" s="23" t="s">
        <v>138</v>
      </c>
      <c r="N373" s="23" t="s">
        <v>111</v>
      </c>
      <c r="O373" s="23">
        <v>75000</v>
      </c>
      <c r="P373" s="29" t="s">
        <v>879</v>
      </c>
      <c r="Q373" s="23" t="s">
        <v>2193</v>
      </c>
      <c r="R373" s="23"/>
      <c r="S373" s="23" t="s">
        <v>2167</v>
      </c>
    </row>
    <row r="374" spans="1:19" ht="28.8" x14ac:dyDescent="0.3">
      <c r="A374" s="23" t="s">
        <v>2194</v>
      </c>
      <c r="B374" s="23" t="s">
        <v>535</v>
      </c>
      <c r="C374" s="23" t="s">
        <v>536</v>
      </c>
      <c r="D374" s="23" t="s">
        <v>2153</v>
      </c>
      <c r="E374" s="23" t="s">
        <v>540</v>
      </c>
      <c r="F374" s="23" t="s">
        <v>475</v>
      </c>
      <c r="G374" s="23" t="s">
        <v>477</v>
      </c>
      <c r="H374" s="23" t="s">
        <v>545</v>
      </c>
      <c r="I374" s="23" t="s">
        <v>482</v>
      </c>
      <c r="J374" s="23" t="s">
        <v>2192</v>
      </c>
      <c r="K374" s="23" t="s">
        <v>2195</v>
      </c>
      <c r="L374" s="23" t="s">
        <v>2196</v>
      </c>
      <c r="M374" s="23" t="s">
        <v>878</v>
      </c>
      <c r="N374" s="23" t="s">
        <v>131</v>
      </c>
      <c r="O374" s="23">
        <v>50000</v>
      </c>
      <c r="P374" s="29" t="s">
        <v>879</v>
      </c>
      <c r="Q374" s="23" t="s">
        <v>2197</v>
      </c>
      <c r="R374" s="23"/>
      <c r="S374" s="23" t="s">
        <v>2167</v>
      </c>
    </row>
    <row r="375" spans="1:19" ht="28.8" x14ac:dyDescent="0.3">
      <c r="A375" s="23" t="s">
        <v>2198</v>
      </c>
      <c r="B375" s="23" t="s">
        <v>535</v>
      </c>
      <c r="C375" s="23" t="s">
        <v>536</v>
      </c>
      <c r="D375" s="23" t="s">
        <v>2153</v>
      </c>
      <c r="E375" s="23" t="s">
        <v>540</v>
      </c>
      <c r="F375" s="23" t="s">
        <v>475</v>
      </c>
      <c r="G375" s="23" t="s">
        <v>477</v>
      </c>
      <c r="H375" s="23" t="s">
        <v>545</v>
      </c>
      <c r="I375" s="23" t="s">
        <v>482</v>
      </c>
      <c r="J375" s="23" t="s">
        <v>2196</v>
      </c>
      <c r="K375" s="23" t="s">
        <v>1270</v>
      </c>
      <c r="L375" s="23" t="s">
        <v>717</v>
      </c>
      <c r="M375" s="23" t="s">
        <v>2165</v>
      </c>
      <c r="N375" s="23" t="s">
        <v>111</v>
      </c>
      <c r="O375" s="23">
        <v>50000</v>
      </c>
      <c r="P375" s="29" t="s">
        <v>879</v>
      </c>
      <c r="Q375" s="23" t="s">
        <v>2199</v>
      </c>
      <c r="R375" s="23"/>
      <c r="S375" s="23" t="s">
        <v>2157</v>
      </c>
    </row>
    <row r="376" spans="1:19" ht="28.8" x14ac:dyDescent="0.3">
      <c r="A376" s="23" t="s">
        <v>2200</v>
      </c>
      <c r="B376" s="23" t="s">
        <v>535</v>
      </c>
      <c r="C376" s="23" t="s">
        <v>536</v>
      </c>
      <c r="D376" s="23" t="s">
        <v>2153</v>
      </c>
      <c r="E376" s="23" t="s">
        <v>540</v>
      </c>
      <c r="F376" s="23" t="s">
        <v>475</v>
      </c>
      <c r="G376" s="23" t="s">
        <v>477</v>
      </c>
      <c r="H376" s="23" t="s">
        <v>545</v>
      </c>
      <c r="I376" s="23" t="s">
        <v>482</v>
      </c>
      <c r="J376" s="23" t="s">
        <v>717</v>
      </c>
      <c r="K376" s="23" t="s">
        <v>2201</v>
      </c>
      <c r="L376" s="23" t="s">
        <v>300</v>
      </c>
      <c r="M376" s="23" t="s">
        <v>138</v>
      </c>
      <c r="N376" s="23" t="s">
        <v>896</v>
      </c>
      <c r="O376" s="23">
        <v>65000</v>
      </c>
      <c r="P376" s="29" t="s">
        <v>879</v>
      </c>
      <c r="Q376" s="23" t="s">
        <v>2202</v>
      </c>
      <c r="R376" s="23"/>
      <c r="S376" s="23" t="s">
        <v>2157</v>
      </c>
    </row>
    <row r="377" spans="1:19" ht="28.8" x14ac:dyDescent="0.3">
      <c r="A377" s="23" t="s">
        <v>2203</v>
      </c>
      <c r="B377" s="23" t="s">
        <v>535</v>
      </c>
      <c r="C377" s="23" t="s">
        <v>536</v>
      </c>
      <c r="D377" s="23" t="s">
        <v>2153</v>
      </c>
      <c r="E377" s="23" t="s">
        <v>540</v>
      </c>
      <c r="F377" s="23" t="s">
        <v>475</v>
      </c>
      <c r="G377" s="23" t="s">
        <v>477</v>
      </c>
      <c r="H377" s="23" t="s">
        <v>545</v>
      </c>
      <c r="I377" s="23" t="s">
        <v>482</v>
      </c>
      <c r="J377" s="23" t="s">
        <v>300</v>
      </c>
      <c r="K377" s="23" t="s">
        <v>2061</v>
      </c>
      <c r="L377" s="23" t="s">
        <v>2204</v>
      </c>
      <c r="M377" s="23" t="s">
        <v>878</v>
      </c>
      <c r="N377" s="23" t="s">
        <v>929</v>
      </c>
      <c r="O377" s="23">
        <v>75000</v>
      </c>
      <c r="P377" s="29" t="s">
        <v>879</v>
      </c>
      <c r="Q377" s="23" t="s">
        <v>2205</v>
      </c>
      <c r="R377" s="23"/>
      <c r="S377" s="23" t="s">
        <v>2167</v>
      </c>
    </row>
    <row r="378" spans="1:19" ht="28.8" x14ac:dyDescent="0.3">
      <c r="A378" s="23" t="s">
        <v>2206</v>
      </c>
      <c r="B378" s="23" t="s">
        <v>535</v>
      </c>
      <c r="C378" s="23" t="s">
        <v>536</v>
      </c>
      <c r="D378" s="23" t="s">
        <v>2153</v>
      </c>
      <c r="E378" s="23" t="s">
        <v>540</v>
      </c>
      <c r="F378" s="23" t="s">
        <v>475</v>
      </c>
      <c r="G378" s="23" t="s">
        <v>477</v>
      </c>
      <c r="H378" s="23" t="s">
        <v>545</v>
      </c>
      <c r="I378" s="23" t="s">
        <v>482</v>
      </c>
      <c r="J378" s="23" t="s">
        <v>2204</v>
      </c>
      <c r="K378" s="23" t="s">
        <v>2207</v>
      </c>
      <c r="L378" s="23" t="s">
        <v>357</v>
      </c>
      <c r="M378" s="23" t="s">
        <v>2165</v>
      </c>
      <c r="N378" s="23" t="s">
        <v>111</v>
      </c>
      <c r="O378" s="23">
        <v>75000</v>
      </c>
      <c r="P378" s="29" t="s">
        <v>879</v>
      </c>
      <c r="Q378" s="23" t="s">
        <v>2208</v>
      </c>
      <c r="R378" s="23"/>
      <c r="S378" s="23" t="s">
        <v>2171</v>
      </c>
    </row>
    <row r="379" spans="1:19" ht="28.8" x14ac:dyDescent="0.3">
      <c r="A379" s="23" t="s">
        <v>2209</v>
      </c>
      <c r="B379" s="23" t="s">
        <v>535</v>
      </c>
      <c r="C379" s="23" t="s">
        <v>536</v>
      </c>
      <c r="D379" s="23" t="s">
        <v>2153</v>
      </c>
      <c r="E379" s="23" t="s">
        <v>540</v>
      </c>
      <c r="F379" s="23" t="s">
        <v>475</v>
      </c>
      <c r="G379" s="23" t="s">
        <v>477</v>
      </c>
      <c r="H379" s="23" t="s">
        <v>545</v>
      </c>
      <c r="I379" s="23" t="s">
        <v>482</v>
      </c>
      <c r="J379" s="23" t="s">
        <v>357</v>
      </c>
      <c r="K379" s="23" t="s">
        <v>2210</v>
      </c>
      <c r="L379" s="23" t="s">
        <v>1817</v>
      </c>
      <c r="M379" s="23" t="s">
        <v>878</v>
      </c>
      <c r="N379" s="23" t="s">
        <v>896</v>
      </c>
      <c r="O379" s="23">
        <v>50000</v>
      </c>
      <c r="P379" s="29" t="s">
        <v>879</v>
      </c>
      <c r="Q379" s="23" t="s">
        <v>2211</v>
      </c>
      <c r="R379" s="23"/>
      <c r="S379" s="23" t="s">
        <v>2167</v>
      </c>
    </row>
    <row r="380" spans="1:19" ht="28.8" x14ac:dyDescent="0.3">
      <c r="A380" s="23" t="s">
        <v>2212</v>
      </c>
      <c r="B380" s="23" t="s">
        <v>535</v>
      </c>
      <c r="C380" s="23" t="s">
        <v>536</v>
      </c>
      <c r="D380" s="23" t="s">
        <v>2153</v>
      </c>
      <c r="E380" s="23" t="s">
        <v>540</v>
      </c>
      <c r="F380" s="23" t="s">
        <v>475</v>
      </c>
      <c r="G380" s="23" t="s">
        <v>477</v>
      </c>
      <c r="H380" s="23" t="s">
        <v>545</v>
      </c>
      <c r="I380" s="23" t="s">
        <v>482</v>
      </c>
      <c r="J380" s="23" t="s">
        <v>1817</v>
      </c>
      <c r="K380" s="23" t="s">
        <v>2213</v>
      </c>
      <c r="L380" s="23" t="s">
        <v>2138</v>
      </c>
      <c r="M380" s="23" t="s">
        <v>138</v>
      </c>
      <c r="N380" s="23" t="s">
        <v>219</v>
      </c>
      <c r="O380" s="23">
        <v>50000</v>
      </c>
      <c r="P380" s="29" t="s">
        <v>879</v>
      </c>
      <c r="Q380" s="23" t="s">
        <v>2214</v>
      </c>
      <c r="R380" s="23"/>
      <c r="S380" s="23" t="s">
        <v>2157</v>
      </c>
    </row>
    <row r="381" spans="1:19" ht="28.8" x14ac:dyDescent="0.3">
      <c r="A381" s="23" t="s">
        <v>2215</v>
      </c>
      <c r="B381" s="23" t="s">
        <v>535</v>
      </c>
      <c r="C381" s="23" t="s">
        <v>536</v>
      </c>
      <c r="D381" s="23" t="s">
        <v>2153</v>
      </c>
      <c r="E381" s="23" t="s">
        <v>540</v>
      </c>
      <c r="F381" s="23" t="s">
        <v>475</v>
      </c>
      <c r="G381" s="23" t="s">
        <v>477</v>
      </c>
      <c r="H381" s="23" t="s">
        <v>545</v>
      </c>
      <c r="I381" s="23" t="s">
        <v>482</v>
      </c>
      <c r="J381" s="23" t="s">
        <v>2138</v>
      </c>
      <c r="K381" s="23" t="s">
        <v>2138</v>
      </c>
      <c r="L381" s="23" t="s">
        <v>1213</v>
      </c>
      <c r="M381" s="23" t="s">
        <v>138</v>
      </c>
      <c r="N381" s="23" t="s">
        <v>920</v>
      </c>
      <c r="O381" s="23">
        <v>75000</v>
      </c>
      <c r="P381" s="29" t="s">
        <v>879</v>
      </c>
      <c r="Q381" s="23" t="s">
        <v>2216</v>
      </c>
      <c r="R381" s="23"/>
      <c r="S381" s="23" t="s">
        <v>2167</v>
      </c>
    </row>
    <row r="382" spans="1:19" ht="28.8" x14ac:dyDescent="0.3">
      <c r="A382" s="23" t="s">
        <v>2217</v>
      </c>
      <c r="B382" s="23" t="s">
        <v>535</v>
      </c>
      <c r="C382" s="23" t="s">
        <v>536</v>
      </c>
      <c r="D382" s="23" t="s">
        <v>2153</v>
      </c>
      <c r="E382" s="23" t="s">
        <v>540</v>
      </c>
      <c r="F382" s="23" t="s">
        <v>475</v>
      </c>
      <c r="G382" s="23" t="s">
        <v>477</v>
      </c>
      <c r="H382" s="23" t="s">
        <v>545</v>
      </c>
      <c r="I382" s="23" t="s">
        <v>482</v>
      </c>
      <c r="J382" s="23" t="s">
        <v>2218</v>
      </c>
      <c r="K382" s="23" t="s">
        <v>2218</v>
      </c>
      <c r="L382" s="23" t="s">
        <v>1759</v>
      </c>
      <c r="M382" s="23" t="s">
        <v>878</v>
      </c>
      <c r="N382" s="23" t="s">
        <v>111</v>
      </c>
      <c r="O382" s="23">
        <v>75000</v>
      </c>
      <c r="P382" s="29" t="s">
        <v>879</v>
      </c>
      <c r="Q382" s="23" t="s">
        <v>2219</v>
      </c>
      <c r="R382" s="23"/>
      <c r="S382" s="23" t="s">
        <v>2157</v>
      </c>
    </row>
    <row r="383" spans="1:19" ht="28.8" x14ac:dyDescent="0.3">
      <c r="A383" s="23" t="s">
        <v>2220</v>
      </c>
      <c r="B383" s="23" t="s">
        <v>535</v>
      </c>
      <c r="C383" s="23" t="s">
        <v>536</v>
      </c>
      <c r="D383" s="23" t="s">
        <v>2153</v>
      </c>
      <c r="E383" s="23" t="s">
        <v>540</v>
      </c>
      <c r="F383" s="23" t="s">
        <v>475</v>
      </c>
      <c r="G383" s="23" t="s">
        <v>477</v>
      </c>
      <c r="H383" s="23" t="s">
        <v>545</v>
      </c>
      <c r="I383" s="23" t="s">
        <v>482</v>
      </c>
      <c r="J383" s="23" t="s">
        <v>1759</v>
      </c>
      <c r="K383" s="23" t="s">
        <v>2221</v>
      </c>
      <c r="L383" s="23" t="s">
        <v>1216</v>
      </c>
      <c r="M383" s="23" t="s">
        <v>138</v>
      </c>
      <c r="N383" s="23" t="s">
        <v>920</v>
      </c>
      <c r="O383" s="23">
        <v>75000</v>
      </c>
      <c r="P383" s="29" t="s">
        <v>879</v>
      </c>
      <c r="Q383" s="23" t="s">
        <v>2222</v>
      </c>
      <c r="R383" s="23"/>
      <c r="S383" s="23" t="s">
        <v>2157</v>
      </c>
    </row>
    <row r="384" spans="1:19" ht="28.8" x14ac:dyDescent="0.3">
      <c r="A384" s="23" t="s">
        <v>2223</v>
      </c>
      <c r="B384" s="23" t="s">
        <v>535</v>
      </c>
      <c r="C384" s="23" t="s">
        <v>536</v>
      </c>
      <c r="D384" s="23" t="s">
        <v>2153</v>
      </c>
      <c r="E384" s="23" t="s">
        <v>540</v>
      </c>
      <c r="F384" s="23" t="s">
        <v>475</v>
      </c>
      <c r="G384" s="23" t="s">
        <v>477</v>
      </c>
      <c r="H384" s="23" t="s">
        <v>545</v>
      </c>
      <c r="I384" s="23" t="s">
        <v>482</v>
      </c>
      <c r="J384" s="23" t="s">
        <v>1216</v>
      </c>
      <c r="K384" s="23" t="s">
        <v>1380</v>
      </c>
      <c r="L384" s="23" t="s">
        <v>2224</v>
      </c>
      <c r="M384" s="23" t="s">
        <v>878</v>
      </c>
      <c r="N384" s="23" t="s">
        <v>920</v>
      </c>
      <c r="O384" s="23">
        <v>65000</v>
      </c>
      <c r="P384" s="29" t="s">
        <v>879</v>
      </c>
      <c r="Q384" s="23" t="s">
        <v>2225</v>
      </c>
      <c r="R384" s="23"/>
      <c r="S384" s="23" t="s">
        <v>2171</v>
      </c>
    </row>
    <row r="385" spans="1:19" ht="28.8" x14ac:dyDescent="0.3">
      <c r="A385" s="23" t="s">
        <v>2226</v>
      </c>
      <c r="B385" s="23" t="s">
        <v>535</v>
      </c>
      <c r="C385" s="23" t="s">
        <v>536</v>
      </c>
      <c r="D385" s="23" t="s">
        <v>2153</v>
      </c>
      <c r="E385" s="23" t="s">
        <v>540</v>
      </c>
      <c r="F385" s="23" t="s">
        <v>475</v>
      </c>
      <c r="G385" s="23" t="s">
        <v>477</v>
      </c>
      <c r="H385" s="23" t="s">
        <v>545</v>
      </c>
      <c r="I385" s="23" t="s">
        <v>482</v>
      </c>
      <c r="J385" s="23" t="s">
        <v>2224</v>
      </c>
      <c r="K385" s="23" t="s">
        <v>1172</v>
      </c>
      <c r="L385" s="23" t="s">
        <v>2227</v>
      </c>
      <c r="M385" s="23" t="s">
        <v>2165</v>
      </c>
      <c r="N385" s="23" t="s">
        <v>896</v>
      </c>
      <c r="O385" s="23">
        <v>50000</v>
      </c>
      <c r="P385" s="29" t="s">
        <v>879</v>
      </c>
      <c r="Q385" s="23" t="s">
        <v>2228</v>
      </c>
      <c r="R385" s="23"/>
      <c r="S385" s="23" t="s">
        <v>2157</v>
      </c>
    </row>
    <row r="386" spans="1:19" ht="28.8" x14ac:dyDescent="0.3">
      <c r="A386" s="23" t="s">
        <v>2229</v>
      </c>
      <c r="B386" s="23" t="s">
        <v>535</v>
      </c>
      <c r="C386" s="23" t="s">
        <v>536</v>
      </c>
      <c r="D386" s="23" t="s">
        <v>2153</v>
      </c>
      <c r="E386" s="23" t="s">
        <v>540</v>
      </c>
      <c r="F386" s="23" t="s">
        <v>475</v>
      </c>
      <c r="G386" s="23" t="s">
        <v>477</v>
      </c>
      <c r="H386" s="23" t="s">
        <v>545</v>
      </c>
      <c r="I386" s="23" t="s">
        <v>482</v>
      </c>
      <c r="J386" s="23" t="s">
        <v>2227</v>
      </c>
      <c r="K386" s="23" t="s">
        <v>2230</v>
      </c>
      <c r="L386" s="23" t="s">
        <v>1219</v>
      </c>
      <c r="M386" s="23" t="s">
        <v>878</v>
      </c>
      <c r="N386" s="23" t="s">
        <v>929</v>
      </c>
      <c r="O386" s="23">
        <v>65000</v>
      </c>
      <c r="P386" s="29" t="s">
        <v>879</v>
      </c>
      <c r="Q386" s="23" t="s">
        <v>2231</v>
      </c>
      <c r="R386" s="23" t="s">
        <v>1584</v>
      </c>
      <c r="S386" s="23" t="s">
        <v>2171</v>
      </c>
    </row>
    <row r="387" spans="1:19" ht="28.8" x14ac:dyDescent="0.3">
      <c r="A387" s="23" t="s">
        <v>2232</v>
      </c>
      <c r="B387" s="23" t="s">
        <v>535</v>
      </c>
      <c r="C387" s="23" t="s">
        <v>536</v>
      </c>
      <c r="D387" s="23" t="s">
        <v>2153</v>
      </c>
      <c r="E387" s="23" t="s">
        <v>540</v>
      </c>
      <c r="F387" s="23" t="s">
        <v>475</v>
      </c>
      <c r="G387" s="23" t="s">
        <v>477</v>
      </c>
      <c r="H387" s="23" t="s">
        <v>545</v>
      </c>
      <c r="I387" s="23" t="s">
        <v>482</v>
      </c>
      <c r="J387" s="23" t="s">
        <v>1219</v>
      </c>
      <c r="K387" s="23" t="s">
        <v>2233</v>
      </c>
      <c r="L387" s="23" t="s">
        <v>2234</v>
      </c>
      <c r="M387" s="23" t="s">
        <v>2165</v>
      </c>
      <c r="N387" s="23" t="s">
        <v>168</v>
      </c>
      <c r="O387" s="23">
        <v>75000</v>
      </c>
      <c r="P387" s="29" t="s">
        <v>879</v>
      </c>
      <c r="Q387" s="23" t="s">
        <v>2235</v>
      </c>
      <c r="R387" s="23"/>
      <c r="S387" s="23" t="s">
        <v>2171</v>
      </c>
    </row>
    <row r="388" spans="1:19" ht="28.8" x14ac:dyDescent="0.3">
      <c r="A388" s="23" t="s">
        <v>2236</v>
      </c>
      <c r="B388" s="23" t="s">
        <v>535</v>
      </c>
      <c r="C388" s="23" t="s">
        <v>536</v>
      </c>
      <c r="D388" s="23" t="s">
        <v>2153</v>
      </c>
      <c r="E388" s="23" t="s">
        <v>540</v>
      </c>
      <c r="F388" s="23" t="s">
        <v>475</v>
      </c>
      <c r="G388" s="23" t="s">
        <v>477</v>
      </c>
      <c r="H388" s="23" t="s">
        <v>545</v>
      </c>
      <c r="I388" s="23" t="s">
        <v>482</v>
      </c>
      <c r="J388" s="23" t="s">
        <v>2234</v>
      </c>
      <c r="K388" s="23" t="s">
        <v>1825</v>
      </c>
      <c r="L388" s="23" t="s">
        <v>2237</v>
      </c>
      <c r="M388" s="23" t="s">
        <v>138</v>
      </c>
      <c r="N388" s="23" t="s">
        <v>111</v>
      </c>
      <c r="O388" s="23">
        <v>65000</v>
      </c>
      <c r="P388" s="29" t="s">
        <v>879</v>
      </c>
      <c r="Q388" s="23" t="s">
        <v>2238</v>
      </c>
      <c r="R388" s="23"/>
      <c r="S388" s="23" t="s">
        <v>2167</v>
      </c>
    </row>
    <row r="389" spans="1:19" ht="28.8" x14ac:dyDescent="0.3">
      <c r="A389" s="23" t="s">
        <v>2239</v>
      </c>
      <c r="B389" s="23" t="s">
        <v>535</v>
      </c>
      <c r="C389" s="23" t="s">
        <v>536</v>
      </c>
      <c r="D389" s="23" t="s">
        <v>2153</v>
      </c>
      <c r="E389" s="23" t="s">
        <v>540</v>
      </c>
      <c r="F389" s="23" t="s">
        <v>475</v>
      </c>
      <c r="G389" s="23" t="s">
        <v>477</v>
      </c>
      <c r="H389" s="23" t="s">
        <v>545</v>
      </c>
      <c r="I389" s="23" t="s">
        <v>482</v>
      </c>
      <c r="J389" s="23" t="s">
        <v>1220</v>
      </c>
      <c r="K389" s="23" t="s">
        <v>2240</v>
      </c>
      <c r="L389" s="23" t="s">
        <v>212</v>
      </c>
      <c r="M389" s="23" t="s">
        <v>878</v>
      </c>
      <c r="N389" s="23" t="s">
        <v>219</v>
      </c>
      <c r="O389" s="23">
        <v>50000</v>
      </c>
      <c r="P389" s="29" t="s">
        <v>879</v>
      </c>
      <c r="Q389" s="23" t="s">
        <v>2241</v>
      </c>
      <c r="R389" s="23"/>
      <c r="S389" s="23" t="s">
        <v>2157</v>
      </c>
    </row>
    <row r="390" spans="1:19" ht="28.8" x14ac:dyDescent="0.3">
      <c r="A390" s="23" t="s">
        <v>2242</v>
      </c>
      <c r="B390" s="23" t="s">
        <v>535</v>
      </c>
      <c r="C390" s="23" t="s">
        <v>536</v>
      </c>
      <c r="D390" s="23" t="s">
        <v>2153</v>
      </c>
      <c r="E390" s="23" t="s">
        <v>540</v>
      </c>
      <c r="F390" s="23" t="s">
        <v>475</v>
      </c>
      <c r="G390" s="23" t="s">
        <v>477</v>
      </c>
      <c r="H390" s="23" t="s">
        <v>545</v>
      </c>
      <c r="I390" s="23" t="s">
        <v>482</v>
      </c>
      <c r="J390" s="23" t="s">
        <v>212</v>
      </c>
      <c r="K390" s="23" t="s">
        <v>212</v>
      </c>
      <c r="L390" s="23" t="s">
        <v>2243</v>
      </c>
      <c r="M390" s="23" t="s">
        <v>878</v>
      </c>
      <c r="N390" s="23" t="s">
        <v>896</v>
      </c>
      <c r="O390" s="23">
        <v>65000</v>
      </c>
      <c r="P390" s="29" t="s">
        <v>879</v>
      </c>
      <c r="Q390" s="23" t="s">
        <v>2244</v>
      </c>
      <c r="R390" s="23"/>
      <c r="S390" s="23" t="s">
        <v>2167</v>
      </c>
    </row>
    <row r="391" spans="1:19" ht="28.8" x14ac:dyDescent="0.3">
      <c r="A391" s="23" t="s">
        <v>2245</v>
      </c>
      <c r="B391" s="23" t="s">
        <v>535</v>
      </c>
      <c r="C391" s="23" t="s">
        <v>536</v>
      </c>
      <c r="D391" s="23" t="s">
        <v>2153</v>
      </c>
      <c r="E391" s="23" t="s">
        <v>540</v>
      </c>
      <c r="F391" s="23" t="s">
        <v>475</v>
      </c>
      <c r="G391" s="23" t="s">
        <v>477</v>
      </c>
      <c r="H391" s="23" t="s">
        <v>545</v>
      </c>
      <c r="I391" s="23" t="s">
        <v>482</v>
      </c>
      <c r="J391" s="23" t="s">
        <v>2243</v>
      </c>
      <c r="K391" s="23" t="s">
        <v>262</v>
      </c>
      <c r="L391" s="23" t="s">
        <v>468</v>
      </c>
      <c r="M391" s="23" t="s">
        <v>2165</v>
      </c>
      <c r="N391" s="23" t="s">
        <v>219</v>
      </c>
      <c r="O391" s="23">
        <v>75000</v>
      </c>
      <c r="P391" s="29" t="s">
        <v>879</v>
      </c>
      <c r="Q391" s="23" t="s">
        <v>2246</v>
      </c>
      <c r="R391" s="23"/>
      <c r="S391" s="23" t="s">
        <v>2157</v>
      </c>
    </row>
    <row r="392" spans="1:19" ht="28.8" x14ac:dyDescent="0.3">
      <c r="A392" s="23" t="s">
        <v>2247</v>
      </c>
      <c r="B392" s="23" t="s">
        <v>535</v>
      </c>
      <c r="C392" s="23" t="s">
        <v>536</v>
      </c>
      <c r="D392" s="23" t="s">
        <v>2153</v>
      </c>
      <c r="E392" s="23" t="s">
        <v>540</v>
      </c>
      <c r="F392" s="23" t="s">
        <v>475</v>
      </c>
      <c r="G392" s="23" t="s">
        <v>477</v>
      </c>
      <c r="H392" s="23" t="s">
        <v>545</v>
      </c>
      <c r="I392" s="23" t="s">
        <v>482</v>
      </c>
      <c r="J392" s="23" t="s">
        <v>468</v>
      </c>
      <c r="K392" s="23" t="s">
        <v>142</v>
      </c>
      <c r="L392" s="23" t="s">
        <v>544</v>
      </c>
      <c r="M392" s="23" t="s">
        <v>878</v>
      </c>
      <c r="N392" s="23" t="s">
        <v>219</v>
      </c>
      <c r="O392" s="23">
        <v>50000</v>
      </c>
      <c r="P392" s="29" t="s">
        <v>879</v>
      </c>
      <c r="Q392" s="23" t="s">
        <v>2248</v>
      </c>
      <c r="R392" s="23" t="s">
        <v>1063</v>
      </c>
      <c r="S392" s="23" t="s">
        <v>2171</v>
      </c>
    </row>
    <row r="393" spans="1:19" ht="28.8" x14ac:dyDescent="0.3">
      <c r="A393" s="23" t="s">
        <v>2249</v>
      </c>
      <c r="B393" s="23" t="s">
        <v>535</v>
      </c>
      <c r="C393" s="23" t="s">
        <v>536</v>
      </c>
      <c r="D393" s="23" t="s">
        <v>2153</v>
      </c>
      <c r="E393" s="23" t="s">
        <v>540</v>
      </c>
      <c r="F393" s="23" t="s">
        <v>475</v>
      </c>
      <c r="G393" s="23" t="s">
        <v>477</v>
      </c>
      <c r="H393" s="23" t="s">
        <v>545</v>
      </c>
      <c r="I393" s="23" t="s">
        <v>482</v>
      </c>
      <c r="J393" s="23" t="s">
        <v>544</v>
      </c>
      <c r="K393" s="23"/>
      <c r="L393" s="23" t="s">
        <v>2250</v>
      </c>
      <c r="M393" s="23" t="s">
        <v>2165</v>
      </c>
      <c r="N393" s="23" t="s">
        <v>929</v>
      </c>
      <c r="O393" s="23">
        <v>0</v>
      </c>
      <c r="P393" s="31" t="s">
        <v>1331</v>
      </c>
      <c r="Q393" s="23" t="s">
        <v>2251</v>
      </c>
      <c r="R393" s="23" t="s">
        <v>2252</v>
      </c>
      <c r="S393" s="23" t="s">
        <v>2253</v>
      </c>
    </row>
    <row r="394" spans="1:19" ht="28.8" x14ac:dyDescent="0.3">
      <c r="A394" s="23" t="s">
        <v>2254</v>
      </c>
      <c r="B394" s="23" t="s">
        <v>549</v>
      </c>
      <c r="C394" s="23" t="s">
        <v>550</v>
      </c>
      <c r="D394" s="23" t="s">
        <v>2255</v>
      </c>
      <c r="E394" s="23" t="s">
        <v>552</v>
      </c>
      <c r="F394" s="23" t="s">
        <v>475</v>
      </c>
      <c r="G394" s="23" t="s">
        <v>477</v>
      </c>
      <c r="H394" s="23" t="s">
        <v>557</v>
      </c>
      <c r="I394" s="23" t="s">
        <v>96</v>
      </c>
      <c r="J394" s="23" t="s">
        <v>2256</v>
      </c>
      <c r="K394" s="23" t="s">
        <v>2257</v>
      </c>
      <c r="L394" s="23" t="s">
        <v>2258</v>
      </c>
      <c r="M394" s="23" t="s">
        <v>138</v>
      </c>
      <c r="N394" s="23" t="s">
        <v>168</v>
      </c>
      <c r="O394" s="23">
        <v>25000</v>
      </c>
      <c r="P394" s="29" t="s">
        <v>879</v>
      </c>
      <c r="Q394" s="23" t="s">
        <v>2259</v>
      </c>
      <c r="R394" s="23" t="s">
        <v>1584</v>
      </c>
      <c r="S394" s="23" t="s">
        <v>2260</v>
      </c>
    </row>
    <row r="395" spans="1:19" ht="28.8" x14ac:dyDescent="0.3">
      <c r="A395" s="23" t="s">
        <v>2261</v>
      </c>
      <c r="B395" s="23" t="s">
        <v>549</v>
      </c>
      <c r="C395" s="23" t="s">
        <v>550</v>
      </c>
      <c r="D395" s="23" t="s">
        <v>2255</v>
      </c>
      <c r="E395" s="23" t="s">
        <v>552</v>
      </c>
      <c r="F395" s="23" t="s">
        <v>475</v>
      </c>
      <c r="G395" s="23" t="s">
        <v>477</v>
      </c>
      <c r="H395" s="23" t="s">
        <v>557</v>
      </c>
      <c r="I395" s="23" t="s">
        <v>96</v>
      </c>
      <c r="J395" s="23" t="s">
        <v>2258</v>
      </c>
      <c r="K395" s="23" t="s">
        <v>1426</v>
      </c>
      <c r="L395" s="23" t="s">
        <v>2262</v>
      </c>
      <c r="M395" s="23" t="s">
        <v>138</v>
      </c>
      <c r="N395" s="23" t="s">
        <v>168</v>
      </c>
      <c r="O395" s="23">
        <v>35000</v>
      </c>
      <c r="P395" s="29" t="s">
        <v>879</v>
      </c>
      <c r="Q395" s="23" t="s">
        <v>2263</v>
      </c>
      <c r="R395" s="23" t="s">
        <v>938</v>
      </c>
      <c r="S395" s="23" t="s">
        <v>2260</v>
      </c>
    </row>
    <row r="396" spans="1:19" ht="28.8" x14ac:dyDescent="0.3">
      <c r="A396" s="23" t="s">
        <v>2264</v>
      </c>
      <c r="B396" s="23" t="s">
        <v>549</v>
      </c>
      <c r="C396" s="23" t="s">
        <v>550</v>
      </c>
      <c r="D396" s="23" t="s">
        <v>2255</v>
      </c>
      <c r="E396" s="23" t="s">
        <v>552</v>
      </c>
      <c r="F396" s="23" t="s">
        <v>475</v>
      </c>
      <c r="G396" s="23" t="s">
        <v>477</v>
      </c>
      <c r="H396" s="23" t="s">
        <v>557</v>
      </c>
      <c r="I396" s="23" t="s">
        <v>96</v>
      </c>
      <c r="J396" s="23" t="s">
        <v>2265</v>
      </c>
      <c r="K396" s="23" t="s">
        <v>1551</v>
      </c>
      <c r="L396" s="23" t="s">
        <v>2266</v>
      </c>
      <c r="M396" s="23" t="s">
        <v>2165</v>
      </c>
      <c r="N396" s="23" t="s">
        <v>111</v>
      </c>
      <c r="O396" s="23">
        <v>25000</v>
      </c>
      <c r="P396" s="29" t="s">
        <v>879</v>
      </c>
      <c r="Q396" s="23" t="s">
        <v>2267</v>
      </c>
      <c r="R396" s="23"/>
      <c r="S396" s="23" t="s">
        <v>2260</v>
      </c>
    </row>
    <row r="397" spans="1:19" ht="28.8" x14ac:dyDescent="0.3">
      <c r="A397" s="23" t="s">
        <v>2268</v>
      </c>
      <c r="B397" s="23" t="s">
        <v>549</v>
      </c>
      <c r="C397" s="23" t="s">
        <v>550</v>
      </c>
      <c r="D397" s="23" t="s">
        <v>2255</v>
      </c>
      <c r="E397" s="23" t="s">
        <v>552</v>
      </c>
      <c r="F397" s="23" t="s">
        <v>475</v>
      </c>
      <c r="G397" s="23" t="s">
        <v>477</v>
      </c>
      <c r="H397" s="23" t="s">
        <v>557</v>
      </c>
      <c r="I397" s="23" t="s">
        <v>96</v>
      </c>
      <c r="J397" s="23" t="s">
        <v>2266</v>
      </c>
      <c r="K397" s="23" t="s">
        <v>2269</v>
      </c>
      <c r="L397" s="23" t="s">
        <v>2270</v>
      </c>
      <c r="M397" s="23" t="s">
        <v>878</v>
      </c>
      <c r="N397" s="23" t="s">
        <v>920</v>
      </c>
      <c r="O397" s="23">
        <v>35000</v>
      </c>
      <c r="P397" s="29" t="s">
        <v>879</v>
      </c>
      <c r="Q397" s="23" t="s">
        <v>2193</v>
      </c>
      <c r="R397" s="23"/>
      <c r="S397" s="23" t="s">
        <v>2260</v>
      </c>
    </row>
    <row r="398" spans="1:19" ht="28.8" x14ac:dyDescent="0.3">
      <c r="A398" s="23" t="s">
        <v>2271</v>
      </c>
      <c r="B398" s="23" t="s">
        <v>549</v>
      </c>
      <c r="C398" s="23" t="s">
        <v>550</v>
      </c>
      <c r="D398" s="23" t="s">
        <v>2255</v>
      </c>
      <c r="E398" s="23" t="s">
        <v>552</v>
      </c>
      <c r="F398" s="23" t="s">
        <v>475</v>
      </c>
      <c r="G398" s="23" t="s">
        <v>477</v>
      </c>
      <c r="H398" s="23" t="s">
        <v>557</v>
      </c>
      <c r="I398" s="23" t="s">
        <v>96</v>
      </c>
      <c r="J398" s="23" t="s">
        <v>2270</v>
      </c>
      <c r="K398" s="23" t="s">
        <v>2272</v>
      </c>
      <c r="L398" s="23" t="s">
        <v>2273</v>
      </c>
      <c r="M398" s="23" t="s">
        <v>2165</v>
      </c>
      <c r="N398" s="23" t="s">
        <v>111</v>
      </c>
      <c r="O398" s="23">
        <v>25000</v>
      </c>
      <c r="P398" s="29" t="s">
        <v>879</v>
      </c>
      <c r="Q398" s="23" t="s">
        <v>2274</v>
      </c>
      <c r="R398" s="23"/>
      <c r="S398" s="23" t="s">
        <v>2275</v>
      </c>
    </row>
    <row r="399" spans="1:19" ht="28.8" x14ac:dyDescent="0.3">
      <c r="A399" s="23" t="s">
        <v>2276</v>
      </c>
      <c r="B399" s="23" t="s">
        <v>549</v>
      </c>
      <c r="C399" s="23" t="s">
        <v>550</v>
      </c>
      <c r="D399" s="23" t="s">
        <v>2255</v>
      </c>
      <c r="E399" s="23" t="s">
        <v>552</v>
      </c>
      <c r="F399" s="23" t="s">
        <v>475</v>
      </c>
      <c r="G399" s="23" t="s">
        <v>477</v>
      </c>
      <c r="H399" s="23" t="s">
        <v>557</v>
      </c>
      <c r="I399" s="23" t="s">
        <v>96</v>
      </c>
      <c r="J399" s="23" t="s">
        <v>2273</v>
      </c>
      <c r="K399" s="23" t="s">
        <v>2277</v>
      </c>
      <c r="L399" s="23" t="s">
        <v>1782</v>
      </c>
      <c r="M399" s="23" t="s">
        <v>878</v>
      </c>
      <c r="N399" s="23" t="s">
        <v>920</v>
      </c>
      <c r="O399" s="23">
        <v>25000</v>
      </c>
      <c r="P399" s="29" t="s">
        <v>879</v>
      </c>
      <c r="Q399" s="23" t="s">
        <v>2278</v>
      </c>
      <c r="R399" s="23"/>
      <c r="S399" s="23" t="s">
        <v>2275</v>
      </c>
    </row>
    <row r="400" spans="1:19" ht="28.8" x14ac:dyDescent="0.3">
      <c r="A400" s="23" t="s">
        <v>2279</v>
      </c>
      <c r="B400" s="23" t="s">
        <v>549</v>
      </c>
      <c r="C400" s="23" t="s">
        <v>550</v>
      </c>
      <c r="D400" s="23" t="s">
        <v>2255</v>
      </c>
      <c r="E400" s="23" t="s">
        <v>552</v>
      </c>
      <c r="F400" s="23" t="s">
        <v>475</v>
      </c>
      <c r="G400" s="23" t="s">
        <v>477</v>
      </c>
      <c r="H400" s="23" t="s">
        <v>557</v>
      </c>
      <c r="I400" s="23" t="s">
        <v>96</v>
      </c>
      <c r="J400" s="23" t="s">
        <v>1782</v>
      </c>
      <c r="K400" s="23" t="s">
        <v>2280</v>
      </c>
      <c r="L400" s="23" t="s">
        <v>2281</v>
      </c>
      <c r="M400" s="23" t="s">
        <v>138</v>
      </c>
      <c r="N400" s="23" t="s">
        <v>896</v>
      </c>
      <c r="O400" s="23">
        <v>35000</v>
      </c>
      <c r="P400" s="29" t="s">
        <v>879</v>
      </c>
      <c r="Q400" s="23" t="s">
        <v>2282</v>
      </c>
      <c r="R400" s="23"/>
      <c r="S400" s="23" t="s">
        <v>2260</v>
      </c>
    </row>
    <row r="401" spans="1:19" ht="28.8" x14ac:dyDescent="0.3">
      <c r="A401" s="23" t="s">
        <v>2283</v>
      </c>
      <c r="B401" s="23" t="s">
        <v>549</v>
      </c>
      <c r="C401" s="23" t="s">
        <v>550</v>
      </c>
      <c r="D401" s="23" t="s">
        <v>2255</v>
      </c>
      <c r="E401" s="23" t="s">
        <v>552</v>
      </c>
      <c r="F401" s="23" t="s">
        <v>475</v>
      </c>
      <c r="G401" s="23" t="s">
        <v>477</v>
      </c>
      <c r="H401" s="23" t="s">
        <v>557</v>
      </c>
      <c r="I401" s="23" t="s">
        <v>96</v>
      </c>
      <c r="J401" s="23" t="s">
        <v>2281</v>
      </c>
      <c r="K401" s="23" t="s">
        <v>2284</v>
      </c>
      <c r="L401" s="23" t="s">
        <v>2285</v>
      </c>
      <c r="M401" s="23" t="s">
        <v>878</v>
      </c>
      <c r="N401" s="23" t="s">
        <v>131</v>
      </c>
      <c r="O401" s="23">
        <v>45000</v>
      </c>
      <c r="P401" s="29" t="s">
        <v>879</v>
      </c>
      <c r="Q401" s="23" t="s">
        <v>2286</v>
      </c>
      <c r="R401" s="23"/>
      <c r="S401" s="23" t="s">
        <v>2287</v>
      </c>
    </row>
    <row r="402" spans="1:19" ht="28.8" x14ac:dyDescent="0.3">
      <c r="A402" s="23" t="s">
        <v>2288</v>
      </c>
      <c r="B402" s="23" t="s">
        <v>549</v>
      </c>
      <c r="C402" s="23" t="s">
        <v>550</v>
      </c>
      <c r="D402" s="23" t="s">
        <v>2255</v>
      </c>
      <c r="E402" s="23" t="s">
        <v>552</v>
      </c>
      <c r="F402" s="23" t="s">
        <v>475</v>
      </c>
      <c r="G402" s="23" t="s">
        <v>477</v>
      </c>
      <c r="H402" s="23" t="s">
        <v>557</v>
      </c>
      <c r="I402" s="23" t="s">
        <v>96</v>
      </c>
      <c r="J402" s="23" t="s">
        <v>2285</v>
      </c>
      <c r="K402" s="23" t="s">
        <v>1568</v>
      </c>
      <c r="L402" s="23" t="s">
        <v>2289</v>
      </c>
      <c r="M402" s="23" t="s">
        <v>138</v>
      </c>
      <c r="N402" s="23" t="s">
        <v>111</v>
      </c>
      <c r="O402" s="23">
        <v>45000</v>
      </c>
      <c r="P402" s="29" t="s">
        <v>879</v>
      </c>
      <c r="Q402" s="23" t="s">
        <v>2290</v>
      </c>
      <c r="R402" s="23"/>
      <c r="S402" s="23" t="s">
        <v>2275</v>
      </c>
    </row>
    <row r="403" spans="1:19" ht="28.8" x14ac:dyDescent="0.3">
      <c r="A403" s="23" t="s">
        <v>2291</v>
      </c>
      <c r="B403" s="23" t="s">
        <v>549</v>
      </c>
      <c r="C403" s="23" t="s">
        <v>550</v>
      </c>
      <c r="D403" s="23" t="s">
        <v>2255</v>
      </c>
      <c r="E403" s="23" t="s">
        <v>552</v>
      </c>
      <c r="F403" s="23" t="s">
        <v>475</v>
      </c>
      <c r="G403" s="23" t="s">
        <v>477</v>
      </c>
      <c r="H403" s="23" t="s">
        <v>557</v>
      </c>
      <c r="I403" s="23" t="s">
        <v>96</v>
      </c>
      <c r="J403" s="23" t="s">
        <v>2289</v>
      </c>
      <c r="K403" s="23" t="s">
        <v>2292</v>
      </c>
      <c r="L403" s="23" t="s">
        <v>647</v>
      </c>
      <c r="M403" s="23" t="s">
        <v>2165</v>
      </c>
      <c r="N403" s="23" t="s">
        <v>896</v>
      </c>
      <c r="O403" s="23">
        <v>25000</v>
      </c>
      <c r="P403" s="29" t="s">
        <v>879</v>
      </c>
      <c r="Q403" s="23" t="s">
        <v>2293</v>
      </c>
      <c r="R403" s="23"/>
      <c r="S403" s="23" t="s">
        <v>2275</v>
      </c>
    </row>
    <row r="404" spans="1:19" ht="28.8" x14ac:dyDescent="0.3">
      <c r="A404" s="23" t="s">
        <v>2294</v>
      </c>
      <c r="B404" s="23" t="s">
        <v>549</v>
      </c>
      <c r="C404" s="23" t="s">
        <v>550</v>
      </c>
      <c r="D404" s="23" t="s">
        <v>2255</v>
      </c>
      <c r="E404" s="23" t="s">
        <v>552</v>
      </c>
      <c r="F404" s="23" t="s">
        <v>475</v>
      </c>
      <c r="G404" s="23" t="s">
        <v>477</v>
      </c>
      <c r="H404" s="23" t="s">
        <v>557</v>
      </c>
      <c r="I404" s="23" t="s">
        <v>96</v>
      </c>
      <c r="J404" s="23" t="s">
        <v>647</v>
      </c>
      <c r="K404" s="23" t="s">
        <v>167</v>
      </c>
      <c r="L404" s="23" t="s">
        <v>556</v>
      </c>
      <c r="M404" s="23" t="s">
        <v>2165</v>
      </c>
      <c r="N404" s="23" t="s">
        <v>131</v>
      </c>
      <c r="O404" s="23">
        <v>25000</v>
      </c>
      <c r="P404" s="29" t="s">
        <v>879</v>
      </c>
      <c r="Q404" s="23" t="s">
        <v>2295</v>
      </c>
      <c r="R404" s="23"/>
      <c r="S404" s="23" t="s">
        <v>2287</v>
      </c>
    </row>
    <row r="405" spans="1:19" ht="28.8" x14ac:dyDescent="0.3">
      <c r="A405" s="23" t="s">
        <v>2296</v>
      </c>
      <c r="B405" s="23" t="s">
        <v>549</v>
      </c>
      <c r="C405" s="23" t="s">
        <v>550</v>
      </c>
      <c r="D405" s="23" t="s">
        <v>2255</v>
      </c>
      <c r="E405" s="23" t="s">
        <v>552</v>
      </c>
      <c r="F405" s="23" t="s">
        <v>475</v>
      </c>
      <c r="G405" s="23" t="s">
        <v>477</v>
      </c>
      <c r="H405" s="23" t="s">
        <v>557</v>
      </c>
      <c r="I405" s="23" t="s">
        <v>96</v>
      </c>
      <c r="J405" s="23" t="s">
        <v>556</v>
      </c>
      <c r="K405" s="23"/>
      <c r="L405" s="23" t="s">
        <v>2297</v>
      </c>
      <c r="M405" s="23" t="s">
        <v>878</v>
      </c>
      <c r="N405" s="23" t="s">
        <v>219</v>
      </c>
      <c r="O405" s="23">
        <v>0</v>
      </c>
      <c r="P405" s="30" t="s">
        <v>948</v>
      </c>
      <c r="Q405" s="23" t="s">
        <v>2298</v>
      </c>
      <c r="R405" s="23"/>
      <c r="S405" s="23"/>
    </row>
    <row r="406" spans="1:19" ht="28.8" x14ac:dyDescent="0.3">
      <c r="A406" s="23" t="s">
        <v>2299</v>
      </c>
      <c r="B406" s="23" t="s">
        <v>559</v>
      </c>
      <c r="C406" s="23" t="s">
        <v>550</v>
      </c>
      <c r="D406" s="23" t="s">
        <v>2300</v>
      </c>
      <c r="E406" s="23" t="s">
        <v>562</v>
      </c>
      <c r="F406" s="23" t="s">
        <v>475</v>
      </c>
      <c r="G406" s="23" t="s">
        <v>175</v>
      </c>
      <c r="H406" s="23" t="s">
        <v>557</v>
      </c>
      <c r="I406" s="23" t="s">
        <v>96</v>
      </c>
      <c r="J406" s="23" t="s">
        <v>1040</v>
      </c>
      <c r="K406" s="23" t="s">
        <v>1040</v>
      </c>
      <c r="L406" s="23" t="s">
        <v>1044</v>
      </c>
      <c r="M406" s="23" t="s">
        <v>2165</v>
      </c>
      <c r="N406" s="23" t="s">
        <v>131</v>
      </c>
      <c r="O406" s="23">
        <v>25000</v>
      </c>
      <c r="P406" s="29" t="s">
        <v>879</v>
      </c>
      <c r="Q406" s="23" t="s">
        <v>2301</v>
      </c>
      <c r="R406" s="23"/>
      <c r="S406" s="23" t="s">
        <v>2287</v>
      </c>
    </row>
    <row r="407" spans="1:19" ht="28.8" x14ac:dyDescent="0.3">
      <c r="A407" s="23" t="s">
        <v>2302</v>
      </c>
      <c r="B407" s="23" t="s">
        <v>559</v>
      </c>
      <c r="C407" s="23" t="s">
        <v>550</v>
      </c>
      <c r="D407" s="23" t="s">
        <v>2300</v>
      </c>
      <c r="E407" s="23" t="s">
        <v>562</v>
      </c>
      <c r="F407" s="23" t="s">
        <v>475</v>
      </c>
      <c r="G407" s="23" t="s">
        <v>175</v>
      </c>
      <c r="H407" s="23" t="s">
        <v>557</v>
      </c>
      <c r="I407" s="23" t="s">
        <v>96</v>
      </c>
      <c r="J407" s="23" t="s">
        <v>1044</v>
      </c>
      <c r="K407" s="23" t="s">
        <v>1047</v>
      </c>
      <c r="L407" s="23" t="s">
        <v>1048</v>
      </c>
      <c r="M407" s="23" t="s">
        <v>878</v>
      </c>
      <c r="N407" s="23" t="s">
        <v>168</v>
      </c>
      <c r="O407" s="23">
        <v>35000</v>
      </c>
      <c r="P407" s="29" t="s">
        <v>879</v>
      </c>
      <c r="Q407" s="23" t="s">
        <v>2303</v>
      </c>
      <c r="R407" s="23"/>
      <c r="S407" s="23" t="s">
        <v>2275</v>
      </c>
    </row>
    <row r="408" spans="1:19" ht="28.8" x14ac:dyDescent="0.3">
      <c r="A408" s="23" t="s">
        <v>2304</v>
      </c>
      <c r="B408" s="23" t="s">
        <v>559</v>
      </c>
      <c r="C408" s="23" t="s">
        <v>550</v>
      </c>
      <c r="D408" s="23" t="s">
        <v>2300</v>
      </c>
      <c r="E408" s="23" t="s">
        <v>562</v>
      </c>
      <c r="F408" s="23" t="s">
        <v>475</v>
      </c>
      <c r="G408" s="23" t="s">
        <v>175</v>
      </c>
      <c r="H408" s="23" t="s">
        <v>557</v>
      </c>
      <c r="I408" s="23" t="s">
        <v>96</v>
      </c>
      <c r="J408" s="23" t="s">
        <v>1048</v>
      </c>
      <c r="K408" s="23" t="s">
        <v>1048</v>
      </c>
      <c r="L408" s="23" t="s">
        <v>1052</v>
      </c>
      <c r="M408" s="23" t="s">
        <v>2165</v>
      </c>
      <c r="N408" s="23" t="s">
        <v>111</v>
      </c>
      <c r="O408" s="23">
        <v>25000</v>
      </c>
      <c r="P408" s="29" t="s">
        <v>879</v>
      </c>
      <c r="Q408" s="23" t="s">
        <v>2305</v>
      </c>
      <c r="R408" s="23"/>
      <c r="S408" s="23" t="s">
        <v>2260</v>
      </c>
    </row>
    <row r="409" spans="1:19" ht="28.8" x14ac:dyDescent="0.3">
      <c r="A409" s="23" t="s">
        <v>2306</v>
      </c>
      <c r="B409" s="23" t="s">
        <v>559</v>
      </c>
      <c r="C409" s="23" t="s">
        <v>550</v>
      </c>
      <c r="D409" s="23" t="s">
        <v>2300</v>
      </c>
      <c r="E409" s="23" t="s">
        <v>562</v>
      </c>
      <c r="F409" s="23" t="s">
        <v>475</v>
      </c>
      <c r="G409" s="23" t="s">
        <v>175</v>
      </c>
      <c r="H409" s="23" t="s">
        <v>557</v>
      </c>
      <c r="I409" s="23" t="s">
        <v>96</v>
      </c>
      <c r="J409" s="23" t="s">
        <v>1052</v>
      </c>
      <c r="K409" s="23" t="s">
        <v>2008</v>
      </c>
      <c r="L409" s="23" t="s">
        <v>1056</v>
      </c>
      <c r="M409" s="23" t="s">
        <v>878</v>
      </c>
      <c r="N409" s="23" t="s">
        <v>896</v>
      </c>
      <c r="O409" s="23">
        <v>25000</v>
      </c>
      <c r="P409" s="29" t="s">
        <v>879</v>
      </c>
      <c r="Q409" s="23" t="s">
        <v>2307</v>
      </c>
      <c r="R409" s="23"/>
      <c r="S409" s="23" t="s">
        <v>2287</v>
      </c>
    </row>
    <row r="410" spans="1:19" ht="28.8" x14ac:dyDescent="0.3">
      <c r="A410" s="23" t="s">
        <v>2308</v>
      </c>
      <c r="B410" s="23" t="s">
        <v>559</v>
      </c>
      <c r="C410" s="23" t="s">
        <v>550</v>
      </c>
      <c r="D410" s="23" t="s">
        <v>2300</v>
      </c>
      <c r="E410" s="23" t="s">
        <v>562</v>
      </c>
      <c r="F410" s="23" t="s">
        <v>475</v>
      </c>
      <c r="G410" s="23" t="s">
        <v>175</v>
      </c>
      <c r="H410" s="23" t="s">
        <v>557</v>
      </c>
      <c r="I410" s="23" t="s">
        <v>96</v>
      </c>
      <c r="J410" s="23" t="s">
        <v>1056</v>
      </c>
      <c r="K410" s="23" t="s">
        <v>1564</v>
      </c>
      <c r="L410" s="23" t="s">
        <v>1059</v>
      </c>
      <c r="M410" s="23" t="s">
        <v>138</v>
      </c>
      <c r="N410" s="23" t="s">
        <v>168</v>
      </c>
      <c r="O410" s="23">
        <v>25000</v>
      </c>
      <c r="P410" s="29" t="s">
        <v>879</v>
      </c>
      <c r="Q410" s="23" t="s">
        <v>2309</v>
      </c>
      <c r="R410" s="23"/>
      <c r="S410" s="23" t="s">
        <v>2287</v>
      </c>
    </row>
    <row r="411" spans="1:19" ht="28.8" x14ac:dyDescent="0.3">
      <c r="A411" s="23" t="s">
        <v>2310</v>
      </c>
      <c r="B411" s="23" t="s">
        <v>559</v>
      </c>
      <c r="C411" s="23" t="s">
        <v>550</v>
      </c>
      <c r="D411" s="23" t="s">
        <v>2300</v>
      </c>
      <c r="E411" s="23" t="s">
        <v>562</v>
      </c>
      <c r="F411" s="23" t="s">
        <v>475</v>
      </c>
      <c r="G411" s="23" t="s">
        <v>175</v>
      </c>
      <c r="H411" s="23" t="s">
        <v>557</v>
      </c>
      <c r="I411" s="23" t="s">
        <v>96</v>
      </c>
      <c r="J411" s="23" t="s">
        <v>1059</v>
      </c>
      <c r="K411" s="23" t="s">
        <v>2311</v>
      </c>
      <c r="L411" s="23" t="s">
        <v>301</v>
      </c>
      <c r="M411" s="23" t="s">
        <v>878</v>
      </c>
      <c r="N411" s="23" t="s">
        <v>920</v>
      </c>
      <c r="O411" s="23">
        <v>35000</v>
      </c>
      <c r="P411" s="29" t="s">
        <v>879</v>
      </c>
      <c r="Q411" s="23" t="s">
        <v>2312</v>
      </c>
      <c r="R411" s="23"/>
      <c r="S411" s="23" t="s">
        <v>2287</v>
      </c>
    </row>
    <row r="412" spans="1:19" ht="28.8" x14ac:dyDescent="0.3">
      <c r="A412" s="23" t="s">
        <v>2313</v>
      </c>
      <c r="B412" s="23" t="s">
        <v>559</v>
      </c>
      <c r="C412" s="23" t="s">
        <v>550</v>
      </c>
      <c r="D412" s="23" t="s">
        <v>2300</v>
      </c>
      <c r="E412" s="23" t="s">
        <v>562</v>
      </c>
      <c r="F412" s="23" t="s">
        <v>475</v>
      </c>
      <c r="G412" s="23" t="s">
        <v>175</v>
      </c>
      <c r="H412" s="23" t="s">
        <v>557</v>
      </c>
      <c r="I412" s="23" t="s">
        <v>96</v>
      </c>
      <c r="J412" s="23" t="s">
        <v>301</v>
      </c>
      <c r="K412" s="23" t="s">
        <v>2314</v>
      </c>
      <c r="L412" s="23" t="s">
        <v>511</v>
      </c>
      <c r="M412" s="23" t="s">
        <v>138</v>
      </c>
      <c r="N412" s="23" t="s">
        <v>920</v>
      </c>
      <c r="O412" s="23">
        <v>35000</v>
      </c>
      <c r="P412" s="29" t="s">
        <v>879</v>
      </c>
      <c r="Q412" s="23" t="s">
        <v>2315</v>
      </c>
      <c r="R412" s="23"/>
      <c r="S412" s="23" t="s">
        <v>2260</v>
      </c>
    </row>
    <row r="413" spans="1:19" ht="28.8" x14ac:dyDescent="0.3">
      <c r="A413" s="23" t="s">
        <v>2316</v>
      </c>
      <c r="B413" s="23" t="s">
        <v>559</v>
      </c>
      <c r="C413" s="23" t="s">
        <v>550</v>
      </c>
      <c r="D413" s="23" t="s">
        <v>2300</v>
      </c>
      <c r="E413" s="23" t="s">
        <v>562</v>
      </c>
      <c r="F413" s="23" t="s">
        <v>475</v>
      </c>
      <c r="G413" s="23" t="s">
        <v>175</v>
      </c>
      <c r="H413" s="23" t="s">
        <v>557</v>
      </c>
      <c r="I413" s="23" t="s">
        <v>96</v>
      </c>
      <c r="J413" s="23" t="s">
        <v>511</v>
      </c>
      <c r="K413" s="23" t="s">
        <v>187</v>
      </c>
      <c r="L413" s="23" t="s">
        <v>123</v>
      </c>
      <c r="M413" s="23" t="s">
        <v>138</v>
      </c>
      <c r="N413" s="23" t="s">
        <v>929</v>
      </c>
      <c r="O413" s="23">
        <v>45000</v>
      </c>
      <c r="P413" s="29" t="s">
        <v>879</v>
      </c>
      <c r="Q413" s="23" t="s">
        <v>2317</v>
      </c>
      <c r="R413" s="23"/>
      <c r="S413" s="23" t="s">
        <v>2287</v>
      </c>
    </row>
    <row r="414" spans="1:19" ht="28.8" x14ac:dyDescent="0.3">
      <c r="A414" s="23" t="s">
        <v>2318</v>
      </c>
      <c r="B414" s="23" t="s">
        <v>559</v>
      </c>
      <c r="C414" s="23" t="s">
        <v>550</v>
      </c>
      <c r="D414" s="23" t="s">
        <v>2300</v>
      </c>
      <c r="E414" s="23" t="s">
        <v>562</v>
      </c>
      <c r="F414" s="23" t="s">
        <v>475</v>
      </c>
      <c r="G414" s="23" t="s">
        <v>175</v>
      </c>
      <c r="H414" s="23" t="s">
        <v>557</v>
      </c>
      <c r="I414" s="23" t="s">
        <v>96</v>
      </c>
      <c r="J414" s="23" t="s">
        <v>123</v>
      </c>
      <c r="K414" s="23"/>
      <c r="L414" s="23" t="s">
        <v>106</v>
      </c>
      <c r="M414" s="23" t="s">
        <v>878</v>
      </c>
      <c r="N414" s="23" t="s">
        <v>920</v>
      </c>
      <c r="O414" s="23">
        <v>0</v>
      </c>
      <c r="P414" s="30" t="s">
        <v>948</v>
      </c>
      <c r="Q414" s="23" t="s">
        <v>2319</v>
      </c>
      <c r="R414" s="23"/>
      <c r="S414" s="23" t="s">
        <v>950</v>
      </c>
    </row>
    <row r="415" spans="1:19" ht="28.8" x14ac:dyDescent="0.3">
      <c r="A415" s="23" t="s">
        <v>2320</v>
      </c>
      <c r="B415" s="23" t="s">
        <v>567</v>
      </c>
      <c r="C415" s="23" t="s">
        <v>568</v>
      </c>
      <c r="D415" s="23" t="s">
        <v>2321</v>
      </c>
      <c r="E415" s="23" t="s">
        <v>571</v>
      </c>
      <c r="F415" s="23" t="s">
        <v>475</v>
      </c>
      <c r="G415" s="23" t="s">
        <v>175</v>
      </c>
      <c r="H415" s="23" t="s">
        <v>576</v>
      </c>
      <c r="I415" s="23" t="s">
        <v>96</v>
      </c>
      <c r="J415" s="23" t="s">
        <v>2322</v>
      </c>
      <c r="K415" s="23" t="s">
        <v>2323</v>
      </c>
      <c r="L415" s="23" t="s">
        <v>1371</v>
      </c>
      <c r="M415" s="23" t="s">
        <v>138</v>
      </c>
      <c r="N415" s="23" t="s">
        <v>920</v>
      </c>
      <c r="O415" s="23">
        <v>10000</v>
      </c>
      <c r="P415" s="29" t="s">
        <v>879</v>
      </c>
      <c r="Q415" s="23" t="s">
        <v>2324</v>
      </c>
      <c r="R415" s="23"/>
      <c r="S415" s="23" t="s">
        <v>2325</v>
      </c>
    </row>
    <row r="416" spans="1:19" ht="28.8" x14ac:dyDescent="0.3">
      <c r="A416" s="23" t="s">
        <v>2326</v>
      </c>
      <c r="B416" s="23" t="s">
        <v>567</v>
      </c>
      <c r="C416" s="23" t="s">
        <v>568</v>
      </c>
      <c r="D416" s="23" t="s">
        <v>2321</v>
      </c>
      <c r="E416" s="23" t="s">
        <v>571</v>
      </c>
      <c r="F416" s="23" t="s">
        <v>475</v>
      </c>
      <c r="G416" s="23" t="s">
        <v>175</v>
      </c>
      <c r="H416" s="23" t="s">
        <v>576</v>
      </c>
      <c r="I416" s="23" t="s">
        <v>96</v>
      </c>
      <c r="J416" s="23" t="s">
        <v>1371</v>
      </c>
      <c r="K416" s="23" t="s">
        <v>2327</v>
      </c>
      <c r="L416" s="23" t="s">
        <v>2328</v>
      </c>
      <c r="M416" s="23" t="s">
        <v>878</v>
      </c>
      <c r="N416" s="23" t="s">
        <v>920</v>
      </c>
      <c r="O416" s="23">
        <v>10000</v>
      </c>
      <c r="P416" s="29" t="s">
        <v>879</v>
      </c>
      <c r="Q416" s="23" t="s">
        <v>2329</v>
      </c>
      <c r="R416" s="23"/>
      <c r="S416" s="23" t="s">
        <v>2325</v>
      </c>
    </row>
    <row r="417" spans="1:19" ht="28.8" x14ac:dyDescent="0.3">
      <c r="A417" s="23" t="s">
        <v>2330</v>
      </c>
      <c r="B417" s="23" t="s">
        <v>567</v>
      </c>
      <c r="C417" s="23" t="s">
        <v>568</v>
      </c>
      <c r="D417" s="23" t="s">
        <v>2321</v>
      </c>
      <c r="E417" s="23" t="s">
        <v>571</v>
      </c>
      <c r="F417" s="23" t="s">
        <v>475</v>
      </c>
      <c r="G417" s="23" t="s">
        <v>175</v>
      </c>
      <c r="H417" s="23" t="s">
        <v>576</v>
      </c>
      <c r="I417" s="23" t="s">
        <v>96</v>
      </c>
      <c r="J417" s="23" t="s">
        <v>2328</v>
      </c>
      <c r="K417" s="23" t="s">
        <v>2331</v>
      </c>
      <c r="L417" s="23" t="s">
        <v>2332</v>
      </c>
      <c r="M417" s="23" t="s">
        <v>878</v>
      </c>
      <c r="N417" s="23" t="s">
        <v>111</v>
      </c>
      <c r="O417" s="23">
        <v>10000</v>
      </c>
      <c r="P417" s="29" t="s">
        <v>879</v>
      </c>
      <c r="Q417" s="23" t="s">
        <v>2333</v>
      </c>
      <c r="R417" s="23"/>
      <c r="S417" s="23" t="s">
        <v>2334</v>
      </c>
    </row>
    <row r="418" spans="1:19" ht="28.8" x14ac:dyDescent="0.3">
      <c r="A418" s="23" t="s">
        <v>2335</v>
      </c>
      <c r="B418" s="23" t="s">
        <v>567</v>
      </c>
      <c r="C418" s="23" t="s">
        <v>568</v>
      </c>
      <c r="D418" s="23" t="s">
        <v>2321</v>
      </c>
      <c r="E418" s="23" t="s">
        <v>571</v>
      </c>
      <c r="F418" s="23" t="s">
        <v>475</v>
      </c>
      <c r="G418" s="23" t="s">
        <v>175</v>
      </c>
      <c r="H418" s="23" t="s">
        <v>576</v>
      </c>
      <c r="I418" s="23" t="s">
        <v>96</v>
      </c>
      <c r="J418" s="23" t="s">
        <v>2332</v>
      </c>
      <c r="K418" s="23" t="s">
        <v>1622</v>
      </c>
      <c r="L418" s="23" t="s">
        <v>2336</v>
      </c>
      <c r="M418" s="23" t="s">
        <v>138</v>
      </c>
      <c r="N418" s="23" t="s">
        <v>111</v>
      </c>
      <c r="O418" s="23">
        <v>15000</v>
      </c>
      <c r="P418" s="29" t="s">
        <v>879</v>
      </c>
      <c r="Q418" s="23" t="s">
        <v>2337</v>
      </c>
      <c r="R418" s="23"/>
      <c r="S418" s="23" t="s">
        <v>2334</v>
      </c>
    </row>
    <row r="419" spans="1:19" ht="28.8" x14ac:dyDescent="0.3">
      <c r="A419" s="23" t="s">
        <v>2338</v>
      </c>
      <c r="B419" s="23" t="s">
        <v>567</v>
      </c>
      <c r="C419" s="23" t="s">
        <v>568</v>
      </c>
      <c r="D419" s="23" t="s">
        <v>2321</v>
      </c>
      <c r="E419" s="23" t="s">
        <v>571</v>
      </c>
      <c r="F419" s="23" t="s">
        <v>475</v>
      </c>
      <c r="G419" s="23" t="s">
        <v>175</v>
      </c>
      <c r="H419" s="23" t="s">
        <v>576</v>
      </c>
      <c r="I419" s="23" t="s">
        <v>96</v>
      </c>
      <c r="J419" s="23" t="s">
        <v>2336</v>
      </c>
      <c r="K419" s="23" t="s">
        <v>2339</v>
      </c>
      <c r="L419" s="23" t="s">
        <v>2233</v>
      </c>
      <c r="M419" s="23" t="s">
        <v>878</v>
      </c>
      <c r="N419" s="23" t="s">
        <v>920</v>
      </c>
      <c r="O419" s="23">
        <v>20000</v>
      </c>
      <c r="P419" s="29" t="s">
        <v>879</v>
      </c>
      <c r="Q419" s="23" t="s">
        <v>2340</v>
      </c>
      <c r="R419" s="23"/>
      <c r="S419" s="23" t="s">
        <v>2341</v>
      </c>
    </row>
    <row r="420" spans="1:19" ht="28.8" x14ac:dyDescent="0.3">
      <c r="A420" s="23" t="s">
        <v>2342</v>
      </c>
      <c r="B420" s="23" t="s">
        <v>567</v>
      </c>
      <c r="C420" s="23" t="s">
        <v>568</v>
      </c>
      <c r="D420" s="23" t="s">
        <v>2321</v>
      </c>
      <c r="E420" s="23" t="s">
        <v>571</v>
      </c>
      <c r="F420" s="23" t="s">
        <v>475</v>
      </c>
      <c r="G420" s="23" t="s">
        <v>175</v>
      </c>
      <c r="H420" s="23" t="s">
        <v>576</v>
      </c>
      <c r="I420" s="23" t="s">
        <v>96</v>
      </c>
      <c r="J420" s="23" t="s">
        <v>492</v>
      </c>
      <c r="K420" s="23" t="s">
        <v>2240</v>
      </c>
      <c r="L420" s="23" t="s">
        <v>179</v>
      </c>
      <c r="M420" s="23" t="s">
        <v>138</v>
      </c>
      <c r="N420" s="23" t="s">
        <v>896</v>
      </c>
      <c r="O420" s="23">
        <v>15000</v>
      </c>
      <c r="P420" s="29" t="s">
        <v>879</v>
      </c>
      <c r="Q420" s="23" t="s">
        <v>2343</v>
      </c>
      <c r="R420" s="23" t="s">
        <v>945</v>
      </c>
      <c r="S420" s="23" t="s">
        <v>2341</v>
      </c>
    </row>
    <row r="421" spans="1:19" ht="28.8" x14ac:dyDescent="0.3">
      <c r="A421" s="23" t="s">
        <v>2344</v>
      </c>
      <c r="B421" s="23" t="s">
        <v>567</v>
      </c>
      <c r="C421" s="23" t="s">
        <v>568</v>
      </c>
      <c r="D421" s="23" t="s">
        <v>2321</v>
      </c>
      <c r="E421" s="23" t="s">
        <v>571</v>
      </c>
      <c r="F421" s="23" t="s">
        <v>475</v>
      </c>
      <c r="G421" s="23" t="s">
        <v>175</v>
      </c>
      <c r="H421" s="23" t="s">
        <v>576</v>
      </c>
      <c r="I421" s="23" t="s">
        <v>96</v>
      </c>
      <c r="J421" s="23" t="s">
        <v>179</v>
      </c>
      <c r="K421" s="23" t="s">
        <v>276</v>
      </c>
      <c r="L421" s="23" t="s">
        <v>575</v>
      </c>
      <c r="M421" s="23" t="s">
        <v>878</v>
      </c>
      <c r="N421" s="23" t="s">
        <v>219</v>
      </c>
      <c r="O421" s="23">
        <v>10000</v>
      </c>
      <c r="P421" s="29" t="s">
        <v>879</v>
      </c>
      <c r="Q421" s="23" t="s">
        <v>2345</v>
      </c>
      <c r="R421" s="23"/>
      <c r="S421" s="23" t="s">
        <v>2334</v>
      </c>
    </row>
    <row r="422" spans="1:19" ht="28.8" x14ac:dyDescent="0.3">
      <c r="A422" s="23" t="s">
        <v>2346</v>
      </c>
      <c r="B422" s="23" t="s">
        <v>567</v>
      </c>
      <c r="C422" s="23" t="s">
        <v>568</v>
      </c>
      <c r="D422" s="23" t="s">
        <v>2321</v>
      </c>
      <c r="E422" s="23" t="s">
        <v>571</v>
      </c>
      <c r="F422" s="23" t="s">
        <v>475</v>
      </c>
      <c r="G422" s="23" t="s">
        <v>175</v>
      </c>
      <c r="H422" s="23" t="s">
        <v>576</v>
      </c>
      <c r="I422" s="23" t="s">
        <v>96</v>
      </c>
      <c r="J422" s="23" t="s">
        <v>575</v>
      </c>
      <c r="K422" s="23"/>
      <c r="L422" s="23" t="s">
        <v>2347</v>
      </c>
      <c r="M422" s="23" t="s">
        <v>138</v>
      </c>
      <c r="N422" s="23" t="s">
        <v>168</v>
      </c>
      <c r="O422" s="23">
        <v>0</v>
      </c>
      <c r="P422" s="30" t="s">
        <v>948</v>
      </c>
      <c r="Q422" s="23" t="s">
        <v>2348</v>
      </c>
      <c r="R422" s="23"/>
      <c r="S422" s="23" t="s">
        <v>1396</v>
      </c>
    </row>
    <row r="423" spans="1:19" ht="28.8" x14ac:dyDescent="0.3">
      <c r="A423" s="23" t="s">
        <v>2349</v>
      </c>
      <c r="B423" s="23" t="s">
        <v>580</v>
      </c>
      <c r="C423" s="23" t="s">
        <v>568</v>
      </c>
      <c r="D423" s="23" t="s">
        <v>2321</v>
      </c>
      <c r="E423" s="23" t="s">
        <v>581</v>
      </c>
      <c r="F423" s="23" t="s">
        <v>475</v>
      </c>
      <c r="G423" s="23" t="s">
        <v>88</v>
      </c>
      <c r="H423" s="23" t="s">
        <v>576</v>
      </c>
      <c r="I423" s="23" t="s">
        <v>96</v>
      </c>
      <c r="J423" s="23" t="s">
        <v>1658</v>
      </c>
      <c r="K423" s="23" t="s">
        <v>1094</v>
      </c>
      <c r="L423" s="23" t="s">
        <v>2350</v>
      </c>
      <c r="M423" s="23" t="s">
        <v>878</v>
      </c>
      <c r="N423" s="23" t="s">
        <v>920</v>
      </c>
      <c r="O423" s="23">
        <v>20000</v>
      </c>
      <c r="P423" s="29" t="s">
        <v>879</v>
      </c>
      <c r="Q423" s="23" t="s">
        <v>2351</v>
      </c>
      <c r="R423" s="23"/>
      <c r="S423" s="23" t="s">
        <v>2325</v>
      </c>
    </row>
    <row r="424" spans="1:19" ht="28.8" x14ac:dyDescent="0.3">
      <c r="A424" s="23" t="s">
        <v>2352</v>
      </c>
      <c r="B424" s="23" t="s">
        <v>580</v>
      </c>
      <c r="C424" s="23" t="s">
        <v>568</v>
      </c>
      <c r="D424" s="23" t="s">
        <v>2321</v>
      </c>
      <c r="E424" s="23" t="s">
        <v>581</v>
      </c>
      <c r="F424" s="23" t="s">
        <v>475</v>
      </c>
      <c r="G424" s="23" t="s">
        <v>88</v>
      </c>
      <c r="H424" s="23" t="s">
        <v>576</v>
      </c>
      <c r="I424" s="23" t="s">
        <v>96</v>
      </c>
      <c r="J424" s="23" t="s">
        <v>2350</v>
      </c>
      <c r="K424" s="23" t="s">
        <v>385</v>
      </c>
      <c r="L424" s="23" t="s">
        <v>1664</v>
      </c>
      <c r="M424" s="23" t="s">
        <v>138</v>
      </c>
      <c r="N424" s="23" t="s">
        <v>168</v>
      </c>
      <c r="O424" s="23">
        <v>20000</v>
      </c>
      <c r="P424" s="29" t="s">
        <v>879</v>
      </c>
      <c r="Q424" s="23" t="s">
        <v>2353</v>
      </c>
      <c r="R424" s="23" t="s">
        <v>1063</v>
      </c>
      <c r="S424" s="23" t="s">
        <v>2334</v>
      </c>
    </row>
    <row r="425" spans="1:19" ht="28.8" x14ac:dyDescent="0.3">
      <c r="A425" s="23" t="s">
        <v>2354</v>
      </c>
      <c r="B425" s="23" t="s">
        <v>580</v>
      </c>
      <c r="C425" s="23" t="s">
        <v>568</v>
      </c>
      <c r="D425" s="23" t="s">
        <v>2321</v>
      </c>
      <c r="E425" s="23" t="s">
        <v>581</v>
      </c>
      <c r="F425" s="23" t="s">
        <v>475</v>
      </c>
      <c r="G425" s="23" t="s">
        <v>88</v>
      </c>
      <c r="H425" s="23" t="s">
        <v>576</v>
      </c>
      <c r="I425" s="23" t="s">
        <v>96</v>
      </c>
      <c r="J425" s="23" t="s">
        <v>2355</v>
      </c>
      <c r="K425" s="23" t="s">
        <v>2356</v>
      </c>
      <c r="L425" s="23" t="s">
        <v>2357</v>
      </c>
      <c r="M425" s="23" t="s">
        <v>138</v>
      </c>
      <c r="N425" s="23" t="s">
        <v>131</v>
      </c>
      <c r="O425" s="23">
        <v>20000</v>
      </c>
      <c r="P425" s="29" t="s">
        <v>879</v>
      </c>
      <c r="Q425" s="23" t="s">
        <v>2358</v>
      </c>
      <c r="R425" s="23" t="s">
        <v>945</v>
      </c>
      <c r="S425" s="23" t="s">
        <v>2334</v>
      </c>
    </row>
    <row r="426" spans="1:19" ht="28.8" x14ac:dyDescent="0.3">
      <c r="A426" s="23" t="s">
        <v>2359</v>
      </c>
      <c r="B426" s="23" t="s">
        <v>580</v>
      </c>
      <c r="C426" s="23" t="s">
        <v>568</v>
      </c>
      <c r="D426" s="23" t="s">
        <v>2321</v>
      </c>
      <c r="E426" s="23" t="s">
        <v>581</v>
      </c>
      <c r="F426" s="23" t="s">
        <v>475</v>
      </c>
      <c r="G426" s="23" t="s">
        <v>88</v>
      </c>
      <c r="H426" s="23" t="s">
        <v>576</v>
      </c>
      <c r="I426" s="23" t="s">
        <v>96</v>
      </c>
      <c r="J426" s="23" t="s">
        <v>2357</v>
      </c>
      <c r="K426" s="23" t="s">
        <v>1669</v>
      </c>
      <c r="L426" s="23" t="s">
        <v>2360</v>
      </c>
      <c r="M426" s="23" t="s">
        <v>138</v>
      </c>
      <c r="N426" s="23" t="s">
        <v>219</v>
      </c>
      <c r="O426" s="23">
        <v>10000</v>
      </c>
      <c r="P426" s="29" t="s">
        <v>879</v>
      </c>
      <c r="Q426" s="23" t="s">
        <v>2361</v>
      </c>
      <c r="R426" s="23"/>
      <c r="S426" s="23" t="s">
        <v>2334</v>
      </c>
    </row>
    <row r="427" spans="1:19" ht="28.8" x14ac:dyDescent="0.3">
      <c r="A427" s="23" t="s">
        <v>2362</v>
      </c>
      <c r="B427" s="23" t="s">
        <v>580</v>
      </c>
      <c r="C427" s="23" t="s">
        <v>568</v>
      </c>
      <c r="D427" s="23" t="s">
        <v>2321</v>
      </c>
      <c r="E427" s="23" t="s">
        <v>581</v>
      </c>
      <c r="F427" s="23" t="s">
        <v>475</v>
      </c>
      <c r="G427" s="23" t="s">
        <v>88</v>
      </c>
      <c r="H427" s="23" t="s">
        <v>576</v>
      </c>
      <c r="I427" s="23" t="s">
        <v>96</v>
      </c>
      <c r="J427" s="23" t="s">
        <v>2360</v>
      </c>
      <c r="K427" s="23" t="s">
        <v>585</v>
      </c>
      <c r="L427" s="23" t="s">
        <v>109</v>
      </c>
      <c r="M427" s="23" t="s">
        <v>138</v>
      </c>
      <c r="N427" s="23" t="s">
        <v>219</v>
      </c>
      <c r="O427" s="23">
        <v>10000</v>
      </c>
      <c r="P427" s="29" t="s">
        <v>879</v>
      </c>
      <c r="Q427" s="23" t="s">
        <v>2363</v>
      </c>
      <c r="R427" s="23"/>
      <c r="S427" s="23" t="s">
        <v>2334</v>
      </c>
    </row>
    <row r="428" spans="1:19" ht="28.8" x14ac:dyDescent="0.3">
      <c r="A428" s="23" t="s">
        <v>2364</v>
      </c>
      <c r="B428" s="23" t="s">
        <v>580</v>
      </c>
      <c r="C428" s="23" t="s">
        <v>568</v>
      </c>
      <c r="D428" s="23" t="s">
        <v>2321</v>
      </c>
      <c r="E428" s="23" t="s">
        <v>581</v>
      </c>
      <c r="F428" s="23" t="s">
        <v>475</v>
      </c>
      <c r="G428" s="23" t="s">
        <v>88</v>
      </c>
      <c r="H428" s="23" t="s">
        <v>576</v>
      </c>
      <c r="I428" s="23" t="s">
        <v>96</v>
      </c>
      <c r="J428" s="23" t="s">
        <v>586</v>
      </c>
      <c r="K428" s="23"/>
      <c r="L428" s="23" t="s">
        <v>2365</v>
      </c>
      <c r="M428" s="23" t="s">
        <v>138</v>
      </c>
      <c r="N428" s="23" t="s">
        <v>920</v>
      </c>
      <c r="O428" s="23">
        <v>0</v>
      </c>
      <c r="P428" s="30" t="s">
        <v>948</v>
      </c>
      <c r="Q428" s="23" t="s">
        <v>2366</v>
      </c>
      <c r="R428" s="23"/>
      <c r="S428" s="23"/>
    </row>
    <row r="429" spans="1:19" ht="28.8" x14ac:dyDescent="0.3">
      <c r="A429" s="23" t="s">
        <v>2367</v>
      </c>
      <c r="B429" s="23" t="s">
        <v>590</v>
      </c>
      <c r="C429" s="23" t="s">
        <v>591</v>
      </c>
      <c r="D429" s="23" t="s">
        <v>2368</v>
      </c>
      <c r="E429" s="23" t="s">
        <v>594</v>
      </c>
      <c r="F429" s="23" t="s">
        <v>475</v>
      </c>
      <c r="G429" s="23" t="s">
        <v>477</v>
      </c>
      <c r="H429" s="23" t="s">
        <v>599</v>
      </c>
      <c r="I429" s="23" t="s">
        <v>482</v>
      </c>
      <c r="J429" s="23" t="s">
        <v>2369</v>
      </c>
      <c r="K429" s="23" t="s">
        <v>1085</v>
      </c>
      <c r="L429" s="23" t="s">
        <v>2370</v>
      </c>
      <c r="M429" s="23" t="s">
        <v>902</v>
      </c>
      <c r="N429" s="23" t="s">
        <v>920</v>
      </c>
      <c r="O429" s="23">
        <v>35000</v>
      </c>
      <c r="P429" s="29" t="s">
        <v>879</v>
      </c>
      <c r="Q429" s="23" t="s">
        <v>2371</v>
      </c>
      <c r="R429" s="23"/>
      <c r="S429" s="23" t="s">
        <v>2372</v>
      </c>
    </row>
    <row r="430" spans="1:19" ht="28.8" x14ac:dyDescent="0.3">
      <c r="A430" s="23" t="s">
        <v>2373</v>
      </c>
      <c r="B430" s="23" t="s">
        <v>590</v>
      </c>
      <c r="C430" s="23" t="s">
        <v>591</v>
      </c>
      <c r="D430" s="23" t="s">
        <v>2368</v>
      </c>
      <c r="E430" s="23" t="s">
        <v>594</v>
      </c>
      <c r="F430" s="23" t="s">
        <v>475</v>
      </c>
      <c r="G430" s="23" t="s">
        <v>477</v>
      </c>
      <c r="H430" s="23" t="s">
        <v>599</v>
      </c>
      <c r="I430" s="23" t="s">
        <v>482</v>
      </c>
      <c r="J430" s="23" t="s">
        <v>2370</v>
      </c>
      <c r="K430" s="23" t="s">
        <v>1148</v>
      </c>
      <c r="L430" s="23" t="s">
        <v>1258</v>
      </c>
      <c r="M430" s="23" t="s">
        <v>902</v>
      </c>
      <c r="N430" s="23" t="s">
        <v>896</v>
      </c>
      <c r="O430" s="23">
        <v>35000</v>
      </c>
      <c r="P430" s="29" t="s">
        <v>879</v>
      </c>
      <c r="Q430" s="23" t="s">
        <v>2374</v>
      </c>
      <c r="R430" s="23"/>
      <c r="S430" s="23" t="s">
        <v>2375</v>
      </c>
    </row>
    <row r="431" spans="1:19" ht="28.8" x14ac:dyDescent="0.3">
      <c r="A431" s="23" t="s">
        <v>2376</v>
      </c>
      <c r="B431" s="23" t="s">
        <v>590</v>
      </c>
      <c r="C431" s="23" t="s">
        <v>591</v>
      </c>
      <c r="D431" s="23" t="s">
        <v>2368</v>
      </c>
      <c r="E431" s="23" t="s">
        <v>594</v>
      </c>
      <c r="F431" s="23" t="s">
        <v>475</v>
      </c>
      <c r="G431" s="23" t="s">
        <v>477</v>
      </c>
      <c r="H431" s="23" t="s">
        <v>599</v>
      </c>
      <c r="I431" s="23" t="s">
        <v>482</v>
      </c>
      <c r="J431" s="23" t="s">
        <v>1258</v>
      </c>
      <c r="K431" s="23" t="s">
        <v>2377</v>
      </c>
      <c r="L431" s="23" t="s">
        <v>2378</v>
      </c>
      <c r="M431" s="23" t="s">
        <v>2379</v>
      </c>
      <c r="N431" s="23" t="s">
        <v>920</v>
      </c>
      <c r="O431" s="23">
        <v>45000</v>
      </c>
      <c r="P431" s="29" t="s">
        <v>879</v>
      </c>
      <c r="Q431" s="23" t="s">
        <v>2380</v>
      </c>
      <c r="R431" s="23"/>
      <c r="S431" s="23" t="s">
        <v>2381</v>
      </c>
    </row>
    <row r="432" spans="1:19" ht="28.8" x14ac:dyDescent="0.3">
      <c r="A432" s="23" t="s">
        <v>2382</v>
      </c>
      <c r="B432" s="23" t="s">
        <v>590</v>
      </c>
      <c r="C432" s="23" t="s">
        <v>591</v>
      </c>
      <c r="D432" s="23" t="s">
        <v>2368</v>
      </c>
      <c r="E432" s="23" t="s">
        <v>594</v>
      </c>
      <c r="F432" s="23" t="s">
        <v>475</v>
      </c>
      <c r="G432" s="23" t="s">
        <v>477</v>
      </c>
      <c r="H432" s="23" t="s">
        <v>599</v>
      </c>
      <c r="I432" s="23" t="s">
        <v>482</v>
      </c>
      <c r="J432" s="23" t="s">
        <v>1152</v>
      </c>
      <c r="K432" s="23" t="s">
        <v>2383</v>
      </c>
      <c r="L432" s="23" t="s">
        <v>1262</v>
      </c>
      <c r="M432" s="23" t="s">
        <v>878</v>
      </c>
      <c r="N432" s="23" t="s">
        <v>929</v>
      </c>
      <c r="O432" s="23">
        <v>35000</v>
      </c>
      <c r="P432" s="29" t="s">
        <v>879</v>
      </c>
      <c r="Q432" s="23" t="s">
        <v>2384</v>
      </c>
      <c r="R432" s="23"/>
      <c r="S432" s="23" t="s">
        <v>2375</v>
      </c>
    </row>
    <row r="433" spans="1:19" ht="28.8" x14ac:dyDescent="0.3">
      <c r="A433" s="23" t="s">
        <v>2385</v>
      </c>
      <c r="B433" s="23" t="s">
        <v>590</v>
      </c>
      <c r="C433" s="23" t="s">
        <v>591</v>
      </c>
      <c r="D433" s="23" t="s">
        <v>2368</v>
      </c>
      <c r="E433" s="23" t="s">
        <v>594</v>
      </c>
      <c r="F433" s="23" t="s">
        <v>475</v>
      </c>
      <c r="G433" s="23" t="s">
        <v>477</v>
      </c>
      <c r="H433" s="23" t="s">
        <v>599</v>
      </c>
      <c r="I433" s="23" t="s">
        <v>482</v>
      </c>
      <c r="J433" s="23" t="s">
        <v>1262</v>
      </c>
      <c r="K433" s="23" t="s">
        <v>1431</v>
      </c>
      <c r="L433" s="23" t="s">
        <v>2386</v>
      </c>
      <c r="M433" s="23" t="s">
        <v>902</v>
      </c>
      <c r="N433" s="23" t="s">
        <v>896</v>
      </c>
      <c r="O433" s="23">
        <v>45000</v>
      </c>
      <c r="P433" s="29" t="s">
        <v>879</v>
      </c>
      <c r="Q433" s="23" t="s">
        <v>2387</v>
      </c>
      <c r="R433" s="23"/>
      <c r="S433" s="23" t="s">
        <v>2388</v>
      </c>
    </row>
    <row r="434" spans="1:19" ht="28.8" x14ac:dyDescent="0.3">
      <c r="A434" s="23" t="s">
        <v>2389</v>
      </c>
      <c r="B434" s="23" t="s">
        <v>590</v>
      </c>
      <c r="C434" s="23" t="s">
        <v>591</v>
      </c>
      <c r="D434" s="23" t="s">
        <v>2368</v>
      </c>
      <c r="E434" s="23" t="s">
        <v>594</v>
      </c>
      <c r="F434" s="23" t="s">
        <v>475</v>
      </c>
      <c r="G434" s="23" t="s">
        <v>477</v>
      </c>
      <c r="H434" s="23" t="s">
        <v>599</v>
      </c>
      <c r="I434" s="23" t="s">
        <v>482</v>
      </c>
      <c r="J434" s="23" t="s">
        <v>2386</v>
      </c>
      <c r="K434" s="23" t="s">
        <v>2390</v>
      </c>
      <c r="L434" s="23" t="s">
        <v>2391</v>
      </c>
      <c r="M434" s="23" t="s">
        <v>878</v>
      </c>
      <c r="N434" s="23" t="s">
        <v>168</v>
      </c>
      <c r="O434" s="23">
        <v>45000</v>
      </c>
      <c r="P434" s="29" t="s">
        <v>879</v>
      </c>
      <c r="Q434" s="23" t="s">
        <v>2392</v>
      </c>
      <c r="R434" s="23"/>
      <c r="S434" s="23" t="s">
        <v>2372</v>
      </c>
    </row>
    <row r="435" spans="1:19" ht="28.8" x14ac:dyDescent="0.3">
      <c r="A435" s="23" t="s">
        <v>2393</v>
      </c>
      <c r="B435" s="23" t="s">
        <v>590</v>
      </c>
      <c r="C435" s="23" t="s">
        <v>591</v>
      </c>
      <c r="D435" s="23" t="s">
        <v>2368</v>
      </c>
      <c r="E435" s="23" t="s">
        <v>594</v>
      </c>
      <c r="F435" s="23" t="s">
        <v>475</v>
      </c>
      <c r="G435" s="23" t="s">
        <v>477</v>
      </c>
      <c r="H435" s="23" t="s">
        <v>599</v>
      </c>
      <c r="I435" s="23" t="s">
        <v>482</v>
      </c>
      <c r="J435" s="23" t="s">
        <v>2394</v>
      </c>
      <c r="K435" s="23" t="s">
        <v>1509</v>
      </c>
      <c r="L435" s="23" t="s">
        <v>2395</v>
      </c>
      <c r="M435" s="23" t="s">
        <v>2379</v>
      </c>
      <c r="N435" s="23" t="s">
        <v>896</v>
      </c>
      <c r="O435" s="23">
        <v>35000</v>
      </c>
      <c r="P435" s="29" t="s">
        <v>879</v>
      </c>
      <c r="Q435" s="23" t="s">
        <v>2396</v>
      </c>
      <c r="R435" s="23"/>
      <c r="S435" s="23" t="s">
        <v>2375</v>
      </c>
    </row>
    <row r="436" spans="1:19" ht="28.8" x14ac:dyDescent="0.3">
      <c r="A436" s="23" t="s">
        <v>2397</v>
      </c>
      <c r="B436" s="23" t="s">
        <v>590</v>
      </c>
      <c r="C436" s="23" t="s">
        <v>591</v>
      </c>
      <c r="D436" s="23" t="s">
        <v>2368</v>
      </c>
      <c r="E436" s="23" t="s">
        <v>594</v>
      </c>
      <c r="F436" s="23" t="s">
        <v>475</v>
      </c>
      <c r="G436" s="23" t="s">
        <v>477</v>
      </c>
      <c r="H436" s="23" t="s">
        <v>599</v>
      </c>
      <c r="I436" s="23" t="s">
        <v>482</v>
      </c>
      <c r="J436" s="23" t="s">
        <v>2395</v>
      </c>
      <c r="K436" s="23" t="s">
        <v>2398</v>
      </c>
      <c r="L436" s="23" t="s">
        <v>2399</v>
      </c>
      <c r="M436" s="23" t="s">
        <v>878</v>
      </c>
      <c r="N436" s="23" t="s">
        <v>920</v>
      </c>
      <c r="O436" s="23">
        <v>55000</v>
      </c>
      <c r="P436" s="29" t="s">
        <v>879</v>
      </c>
      <c r="Q436" s="23" t="s">
        <v>2400</v>
      </c>
      <c r="R436" s="23"/>
      <c r="S436" s="23" t="s">
        <v>2388</v>
      </c>
    </row>
    <row r="437" spans="1:19" ht="28.8" x14ac:dyDescent="0.3">
      <c r="A437" s="23" t="s">
        <v>2401</v>
      </c>
      <c r="B437" s="23" t="s">
        <v>590</v>
      </c>
      <c r="C437" s="23" t="s">
        <v>591</v>
      </c>
      <c r="D437" s="23" t="s">
        <v>2368</v>
      </c>
      <c r="E437" s="23" t="s">
        <v>594</v>
      </c>
      <c r="F437" s="23" t="s">
        <v>475</v>
      </c>
      <c r="G437" s="23" t="s">
        <v>477</v>
      </c>
      <c r="H437" s="23" t="s">
        <v>599</v>
      </c>
      <c r="I437" s="23" t="s">
        <v>482</v>
      </c>
      <c r="J437" s="23" t="s">
        <v>2399</v>
      </c>
      <c r="K437" s="23" t="s">
        <v>1157</v>
      </c>
      <c r="L437" s="23" t="s">
        <v>2402</v>
      </c>
      <c r="M437" s="23" t="s">
        <v>902</v>
      </c>
      <c r="N437" s="23" t="s">
        <v>168</v>
      </c>
      <c r="O437" s="23">
        <v>75000</v>
      </c>
      <c r="P437" s="29" t="s">
        <v>879</v>
      </c>
      <c r="Q437" s="23" t="s">
        <v>2384</v>
      </c>
      <c r="R437" s="23" t="s">
        <v>1584</v>
      </c>
      <c r="S437" s="23" t="s">
        <v>2375</v>
      </c>
    </row>
    <row r="438" spans="1:19" ht="28.8" x14ac:dyDescent="0.3">
      <c r="A438" s="23" t="s">
        <v>2403</v>
      </c>
      <c r="B438" s="23" t="s">
        <v>590</v>
      </c>
      <c r="C438" s="23" t="s">
        <v>591</v>
      </c>
      <c r="D438" s="23" t="s">
        <v>2368</v>
      </c>
      <c r="E438" s="23" t="s">
        <v>594</v>
      </c>
      <c r="F438" s="23" t="s">
        <v>475</v>
      </c>
      <c r="G438" s="23" t="s">
        <v>477</v>
      </c>
      <c r="H438" s="23" t="s">
        <v>599</v>
      </c>
      <c r="I438" s="23" t="s">
        <v>482</v>
      </c>
      <c r="J438" s="23" t="s">
        <v>2402</v>
      </c>
      <c r="K438" s="23" t="s">
        <v>2404</v>
      </c>
      <c r="L438" s="23" t="s">
        <v>2405</v>
      </c>
      <c r="M438" s="23" t="s">
        <v>878</v>
      </c>
      <c r="N438" s="23" t="s">
        <v>219</v>
      </c>
      <c r="O438" s="23">
        <v>35000</v>
      </c>
      <c r="P438" s="29" t="s">
        <v>879</v>
      </c>
      <c r="Q438" s="23" t="s">
        <v>2406</v>
      </c>
      <c r="R438" s="23"/>
      <c r="S438" s="23" t="s">
        <v>2381</v>
      </c>
    </row>
    <row r="439" spans="1:19" ht="28.8" x14ac:dyDescent="0.3">
      <c r="A439" s="23" t="s">
        <v>2407</v>
      </c>
      <c r="B439" s="23" t="s">
        <v>590</v>
      </c>
      <c r="C439" s="23" t="s">
        <v>591</v>
      </c>
      <c r="D439" s="23" t="s">
        <v>2368</v>
      </c>
      <c r="E439" s="23" t="s">
        <v>594</v>
      </c>
      <c r="F439" s="23" t="s">
        <v>475</v>
      </c>
      <c r="G439" s="23" t="s">
        <v>477</v>
      </c>
      <c r="H439" s="23" t="s">
        <v>599</v>
      </c>
      <c r="I439" s="23" t="s">
        <v>482</v>
      </c>
      <c r="J439" s="23" t="s">
        <v>2405</v>
      </c>
      <c r="K439" s="23" t="s">
        <v>2408</v>
      </c>
      <c r="L439" s="23" t="s">
        <v>1876</v>
      </c>
      <c r="M439" s="23" t="s">
        <v>902</v>
      </c>
      <c r="N439" s="23" t="s">
        <v>920</v>
      </c>
      <c r="O439" s="23">
        <v>75000</v>
      </c>
      <c r="P439" s="29" t="s">
        <v>879</v>
      </c>
      <c r="Q439" s="23" t="s">
        <v>2409</v>
      </c>
      <c r="R439" s="23"/>
      <c r="S439" s="23" t="s">
        <v>2388</v>
      </c>
    </row>
    <row r="440" spans="1:19" ht="28.8" x14ac:dyDescent="0.3">
      <c r="A440" s="23" t="s">
        <v>2410</v>
      </c>
      <c r="B440" s="23" t="s">
        <v>590</v>
      </c>
      <c r="C440" s="23" t="s">
        <v>591</v>
      </c>
      <c r="D440" s="23" t="s">
        <v>2368</v>
      </c>
      <c r="E440" s="23" t="s">
        <v>594</v>
      </c>
      <c r="F440" s="23" t="s">
        <v>475</v>
      </c>
      <c r="G440" s="23" t="s">
        <v>477</v>
      </c>
      <c r="H440" s="23" t="s">
        <v>599</v>
      </c>
      <c r="I440" s="23" t="s">
        <v>482</v>
      </c>
      <c r="J440" s="23" t="s">
        <v>1876</v>
      </c>
      <c r="K440" s="23" t="s">
        <v>242</v>
      </c>
      <c r="L440" s="23" t="s">
        <v>1274</v>
      </c>
      <c r="M440" s="23" t="s">
        <v>878</v>
      </c>
      <c r="N440" s="23" t="s">
        <v>111</v>
      </c>
      <c r="O440" s="23">
        <v>75000</v>
      </c>
      <c r="P440" s="29" t="s">
        <v>879</v>
      </c>
      <c r="Q440" s="23" t="s">
        <v>2411</v>
      </c>
      <c r="R440" s="23"/>
      <c r="S440" s="23" t="s">
        <v>2381</v>
      </c>
    </row>
    <row r="441" spans="1:19" ht="28.8" x14ac:dyDescent="0.3">
      <c r="A441" s="23" t="s">
        <v>2412</v>
      </c>
      <c r="B441" s="23" t="s">
        <v>590</v>
      </c>
      <c r="C441" s="23" t="s">
        <v>591</v>
      </c>
      <c r="D441" s="23" t="s">
        <v>2368</v>
      </c>
      <c r="E441" s="23" t="s">
        <v>594</v>
      </c>
      <c r="F441" s="23" t="s">
        <v>475</v>
      </c>
      <c r="G441" s="23" t="s">
        <v>477</v>
      </c>
      <c r="H441" s="23" t="s">
        <v>599</v>
      </c>
      <c r="I441" s="23" t="s">
        <v>482</v>
      </c>
      <c r="J441" s="23" t="s">
        <v>1274</v>
      </c>
      <c r="K441" s="23" t="s">
        <v>2131</v>
      </c>
      <c r="L441" s="23" t="s">
        <v>2413</v>
      </c>
      <c r="M441" s="23" t="s">
        <v>902</v>
      </c>
      <c r="N441" s="23" t="s">
        <v>896</v>
      </c>
      <c r="O441" s="23">
        <v>55000</v>
      </c>
      <c r="P441" s="29" t="s">
        <v>879</v>
      </c>
      <c r="Q441" s="23" t="s">
        <v>2414</v>
      </c>
      <c r="R441" s="23"/>
      <c r="S441" s="23" t="s">
        <v>2381</v>
      </c>
    </row>
    <row r="442" spans="1:19" ht="28.8" x14ac:dyDescent="0.3">
      <c r="A442" s="23" t="s">
        <v>2415</v>
      </c>
      <c r="B442" s="23" t="s">
        <v>590</v>
      </c>
      <c r="C442" s="23" t="s">
        <v>591</v>
      </c>
      <c r="D442" s="23" t="s">
        <v>2368</v>
      </c>
      <c r="E442" s="23" t="s">
        <v>594</v>
      </c>
      <c r="F442" s="23" t="s">
        <v>475</v>
      </c>
      <c r="G442" s="23" t="s">
        <v>477</v>
      </c>
      <c r="H442" s="23" t="s">
        <v>599</v>
      </c>
      <c r="I442" s="23" t="s">
        <v>482</v>
      </c>
      <c r="J442" s="23" t="s">
        <v>2413</v>
      </c>
      <c r="K442" s="23" t="s">
        <v>2413</v>
      </c>
      <c r="L442" s="23" t="s">
        <v>2416</v>
      </c>
      <c r="M442" s="23" t="s">
        <v>878</v>
      </c>
      <c r="N442" s="23" t="s">
        <v>920</v>
      </c>
      <c r="O442" s="23">
        <v>35000</v>
      </c>
      <c r="P442" s="29" t="s">
        <v>879</v>
      </c>
      <c r="Q442" s="23" t="s">
        <v>2417</v>
      </c>
      <c r="R442" s="23"/>
      <c r="S442" s="23" t="s">
        <v>2381</v>
      </c>
    </row>
    <row r="443" spans="1:19" ht="28.8" x14ac:dyDescent="0.3">
      <c r="A443" s="23" t="s">
        <v>2418</v>
      </c>
      <c r="B443" s="23" t="s">
        <v>590</v>
      </c>
      <c r="C443" s="23" t="s">
        <v>591</v>
      </c>
      <c r="D443" s="23" t="s">
        <v>2368</v>
      </c>
      <c r="E443" s="23" t="s">
        <v>594</v>
      </c>
      <c r="F443" s="23" t="s">
        <v>475</v>
      </c>
      <c r="G443" s="23" t="s">
        <v>477</v>
      </c>
      <c r="H443" s="23" t="s">
        <v>599</v>
      </c>
      <c r="I443" s="23" t="s">
        <v>482</v>
      </c>
      <c r="J443" s="23" t="s">
        <v>2416</v>
      </c>
      <c r="K443" s="23" t="s">
        <v>2419</v>
      </c>
      <c r="L443" s="23" t="s">
        <v>317</v>
      </c>
      <c r="M443" s="23" t="s">
        <v>902</v>
      </c>
      <c r="N443" s="23" t="s">
        <v>896</v>
      </c>
      <c r="O443" s="23">
        <v>55000</v>
      </c>
      <c r="P443" s="29" t="s">
        <v>879</v>
      </c>
      <c r="Q443" s="23" t="s">
        <v>2420</v>
      </c>
      <c r="R443" s="23"/>
      <c r="S443" s="23" t="s">
        <v>2372</v>
      </c>
    </row>
    <row r="444" spans="1:19" ht="28.8" x14ac:dyDescent="0.3">
      <c r="A444" s="23" t="s">
        <v>2421</v>
      </c>
      <c r="B444" s="23" t="s">
        <v>590</v>
      </c>
      <c r="C444" s="23" t="s">
        <v>591</v>
      </c>
      <c r="D444" s="23" t="s">
        <v>2368</v>
      </c>
      <c r="E444" s="23" t="s">
        <v>594</v>
      </c>
      <c r="F444" s="23" t="s">
        <v>475</v>
      </c>
      <c r="G444" s="23" t="s">
        <v>477</v>
      </c>
      <c r="H444" s="23" t="s">
        <v>599</v>
      </c>
      <c r="I444" s="23" t="s">
        <v>482</v>
      </c>
      <c r="J444" s="23" t="s">
        <v>317</v>
      </c>
      <c r="K444" s="23" t="s">
        <v>2135</v>
      </c>
      <c r="L444" s="23" t="s">
        <v>2422</v>
      </c>
      <c r="M444" s="23" t="s">
        <v>902</v>
      </c>
      <c r="N444" s="23" t="s">
        <v>920</v>
      </c>
      <c r="O444" s="23">
        <v>55000</v>
      </c>
      <c r="P444" s="29" t="s">
        <v>879</v>
      </c>
      <c r="Q444" s="23" t="s">
        <v>1788</v>
      </c>
      <c r="R444" s="23" t="s">
        <v>1457</v>
      </c>
      <c r="S444" s="23" t="s">
        <v>2372</v>
      </c>
    </row>
    <row r="445" spans="1:19" ht="28.8" x14ac:dyDescent="0.3">
      <c r="A445" s="23" t="s">
        <v>2423</v>
      </c>
      <c r="B445" s="23" t="s">
        <v>590</v>
      </c>
      <c r="C445" s="23" t="s">
        <v>591</v>
      </c>
      <c r="D445" s="23" t="s">
        <v>2368</v>
      </c>
      <c r="E445" s="23" t="s">
        <v>594</v>
      </c>
      <c r="F445" s="23" t="s">
        <v>475</v>
      </c>
      <c r="G445" s="23" t="s">
        <v>477</v>
      </c>
      <c r="H445" s="23" t="s">
        <v>599</v>
      </c>
      <c r="I445" s="23" t="s">
        <v>482</v>
      </c>
      <c r="J445" s="23" t="s">
        <v>2422</v>
      </c>
      <c r="K445" s="23" t="s">
        <v>2424</v>
      </c>
      <c r="L445" s="23" t="s">
        <v>2425</v>
      </c>
      <c r="M445" s="23" t="s">
        <v>878</v>
      </c>
      <c r="N445" s="23" t="s">
        <v>168</v>
      </c>
      <c r="O445" s="23">
        <v>35000</v>
      </c>
      <c r="P445" s="29" t="s">
        <v>879</v>
      </c>
      <c r="Q445" s="23" t="s">
        <v>2426</v>
      </c>
      <c r="R445" s="23"/>
      <c r="S445" s="23" t="s">
        <v>2372</v>
      </c>
    </row>
    <row r="446" spans="1:19" ht="28.8" x14ac:dyDescent="0.3">
      <c r="A446" s="23" t="s">
        <v>2427</v>
      </c>
      <c r="B446" s="23" t="s">
        <v>590</v>
      </c>
      <c r="C446" s="23" t="s">
        <v>591</v>
      </c>
      <c r="D446" s="23" t="s">
        <v>2368</v>
      </c>
      <c r="E446" s="23" t="s">
        <v>594</v>
      </c>
      <c r="F446" s="23" t="s">
        <v>475</v>
      </c>
      <c r="G446" s="23" t="s">
        <v>477</v>
      </c>
      <c r="H446" s="23" t="s">
        <v>599</v>
      </c>
      <c r="I446" s="23" t="s">
        <v>482</v>
      </c>
      <c r="J446" s="23" t="s">
        <v>2425</v>
      </c>
      <c r="K446" s="23" t="s">
        <v>2425</v>
      </c>
      <c r="L446" s="23" t="s">
        <v>2142</v>
      </c>
      <c r="M446" s="23" t="s">
        <v>2379</v>
      </c>
      <c r="N446" s="23" t="s">
        <v>131</v>
      </c>
      <c r="O446" s="23">
        <v>55000</v>
      </c>
      <c r="P446" s="29" t="s">
        <v>879</v>
      </c>
      <c r="Q446" s="23" t="s">
        <v>2428</v>
      </c>
      <c r="R446" s="23"/>
      <c r="S446" s="23" t="s">
        <v>2381</v>
      </c>
    </row>
    <row r="447" spans="1:19" ht="28.8" x14ac:dyDescent="0.3">
      <c r="A447" s="23" t="s">
        <v>2429</v>
      </c>
      <c r="B447" s="23" t="s">
        <v>590</v>
      </c>
      <c r="C447" s="23" t="s">
        <v>591</v>
      </c>
      <c r="D447" s="23" t="s">
        <v>2368</v>
      </c>
      <c r="E447" s="23" t="s">
        <v>594</v>
      </c>
      <c r="F447" s="23" t="s">
        <v>475</v>
      </c>
      <c r="G447" s="23" t="s">
        <v>477</v>
      </c>
      <c r="H447" s="23" t="s">
        <v>599</v>
      </c>
      <c r="I447" s="23" t="s">
        <v>482</v>
      </c>
      <c r="J447" s="23" t="s">
        <v>2142</v>
      </c>
      <c r="K447" s="23" t="s">
        <v>2142</v>
      </c>
      <c r="L447" s="23" t="s">
        <v>2430</v>
      </c>
      <c r="M447" s="23" t="s">
        <v>2379</v>
      </c>
      <c r="N447" s="23" t="s">
        <v>168</v>
      </c>
      <c r="O447" s="23">
        <v>35000</v>
      </c>
      <c r="P447" s="29" t="s">
        <v>879</v>
      </c>
      <c r="Q447" s="23" t="s">
        <v>2431</v>
      </c>
      <c r="R447" s="23"/>
      <c r="S447" s="23" t="s">
        <v>2375</v>
      </c>
    </row>
    <row r="448" spans="1:19" ht="28.8" x14ac:dyDescent="0.3">
      <c r="A448" s="23" t="s">
        <v>2432</v>
      </c>
      <c r="B448" s="23" t="s">
        <v>590</v>
      </c>
      <c r="C448" s="23" t="s">
        <v>591</v>
      </c>
      <c r="D448" s="23" t="s">
        <v>2368</v>
      </c>
      <c r="E448" s="23" t="s">
        <v>594</v>
      </c>
      <c r="F448" s="23" t="s">
        <v>475</v>
      </c>
      <c r="G448" s="23" t="s">
        <v>477</v>
      </c>
      <c r="H448" s="23" t="s">
        <v>599</v>
      </c>
      <c r="I448" s="23" t="s">
        <v>482</v>
      </c>
      <c r="J448" s="23" t="s">
        <v>2433</v>
      </c>
      <c r="K448" s="23" t="s">
        <v>1898</v>
      </c>
      <c r="L448" s="23" t="s">
        <v>2230</v>
      </c>
      <c r="M448" s="23" t="s">
        <v>878</v>
      </c>
      <c r="N448" s="23" t="s">
        <v>929</v>
      </c>
      <c r="O448" s="23">
        <v>55000</v>
      </c>
      <c r="P448" s="29" t="s">
        <v>879</v>
      </c>
      <c r="Q448" s="23" t="s">
        <v>2434</v>
      </c>
      <c r="R448" s="23"/>
      <c r="S448" s="23" t="s">
        <v>2381</v>
      </c>
    </row>
    <row r="449" spans="1:19" ht="28.8" x14ac:dyDescent="0.3">
      <c r="A449" s="23" t="s">
        <v>2435</v>
      </c>
      <c r="B449" s="23" t="s">
        <v>590</v>
      </c>
      <c r="C449" s="23" t="s">
        <v>591</v>
      </c>
      <c r="D449" s="23" t="s">
        <v>2368</v>
      </c>
      <c r="E449" s="23" t="s">
        <v>594</v>
      </c>
      <c r="F449" s="23" t="s">
        <v>475</v>
      </c>
      <c r="G449" s="23" t="s">
        <v>477</v>
      </c>
      <c r="H449" s="23" t="s">
        <v>599</v>
      </c>
      <c r="I449" s="23" t="s">
        <v>482</v>
      </c>
      <c r="J449" s="23" t="s">
        <v>2230</v>
      </c>
      <c r="K449" s="23" t="s">
        <v>2143</v>
      </c>
      <c r="L449" s="23" t="s">
        <v>2436</v>
      </c>
      <c r="M449" s="23" t="s">
        <v>2379</v>
      </c>
      <c r="N449" s="23" t="s">
        <v>929</v>
      </c>
      <c r="O449" s="23">
        <v>75000</v>
      </c>
      <c r="P449" s="29" t="s">
        <v>879</v>
      </c>
      <c r="Q449" s="23" t="s">
        <v>2437</v>
      </c>
      <c r="R449" s="23"/>
      <c r="S449" s="23" t="s">
        <v>2372</v>
      </c>
    </row>
    <row r="450" spans="1:19" ht="28.8" x14ac:dyDescent="0.3">
      <c r="A450" s="23" t="s">
        <v>2438</v>
      </c>
      <c r="B450" s="23" t="s">
        <v>590</v>
      </c>
      <c r="C450" s="23" t="s">
        <v>591</v>
      </c>
      <c r="D450" s="23" t="s">
        <v>2368</v>
      </c>
      <c r="E450" s="23" t="s">
        <v>594</v>
      </c>
      <c r="F450" s="23" t="s">
        <v>475</v>
      </c>
      <c r="G450" s="23" t="s">
        <v>477</v>
      </c>
      <c r="H450" s="23" t="s">
        <v>599</v>
      </c>
      <c r="I450" s="23" t="s">
        <v>482</v>
      </c>
      <c r="J450" s="23" t="s">
        <v>2436</v>
      </c>
      <c r="K450" s="23" t="s">
        <v>2439</v>
      </c>
      <c r="L450" s="23" t="s">
        <v>1910</v>
      </c>
      <c r="M450" s="23" t="s">
        <v>2379</v>
      </c>
      <c r="N450" s="23" t="s">
        <v>896</v>
      </c>
      <c r="O450" s="23">
        <v>55000</v>
      </c>
      <c r="P450" s="29" t="s">
        <v>879</v>
      </c>
      <c r="Q450" s="23" t="s">
        <v>2440</v>
      </c>
      <c r="R450" s="23"/>
      <c r="S450" s="23" t="s">
        <v>2388</v>
      </c>
    </row>
    <row r="451" spans="1:19" ht="28.8" x14ac:dyDescent="0.3">
      <c r="A451" s="23" t="s">
        <v>2441</v>
      </c>
      <c r="B451" s="23" t="s">
        <v>590</v>
      </c>
      <c r="C451" s="23" t="s">
        <v>591</v>
      </c>
      <c r="D451" s="23" t="s">
        <v>2368</v>
      </c>
      <c r="E451" s="23" t="s">
        <v>594</v>
      </c>
      <c r="F451" s="23" t="s">
        <v>475</v>
      </c>
      <c r="G451" s="23" t="s">
        <v>477</v>
      </c>
      <c r="H451" s="23" t="s">
        <v>599</v>
      </c>
      <c r="I451" s="23" t="s">
        <v>482</v>
      </c>
      <c r="J451" s="23" t="s">
        <v>1910</v>
      </c>
      <c r="K451" s="23" t="s">
        <v>1178</v>
      </c>
      <c r="L451" s="23" t="s">
        <v>530</v>
      </c>
      <c r="M451" s="23" t="s">
        <v>902</v>
      </c>
      <c r="N451" s="23" t="s">
        <v>896</v>
      </c>
      <c r="O451" s="23">
        <v>45000</v>
      </c>
      <c r="P451" s="29" t="s">
        <v>879</v>
      </c>
      <c r="Q451" s="23" t="s">
        <v>2442</v>
      </c>
      <c r="R451" s="23"/>
      <c r="S451" s="23" t="s">
        <v>2372</v>
      </c>
    </row>
    <row r="452" spans="1:19" ht="28.8" x14ac:dyDescent="0.3">
      <c r="A452" s="23" t="s">
        <v>2443</v>
      </c>
      <c r="B452" s="23" t="s">
        <v>590</v>
      </c>
      <c r="C452" s="23" t="s">
        <v>591</v>
      </c>
      <c r="D452" s="23" t="s">
        <v>2368</v>
      </c>
      <c r="E452" s="23" t="s">
        <v>594</v>
      </c>
      <c r="F452" s="23" t="s">
        <v>475</v>
      </c>
      <c r="G452" s="23" t="s">
        <v>477</v>
      </c>
      <c r="H452" s="23" t="s">
        <v>599</v>
      </c>
      <c r="I452" s="23" t="s">
        <v>482</v>
      </c>
      <c r="J452" s="23" t="s">
        <v>2444</v>
      </c>
      <c r="K452" s="23" t="s">
        <v>2445</v>
      </c>
      <c r="L452" s="23" t="s">
        <v>157</v>
      </c>
      <c r="M452" s="23" t="s">
        <v>878</v>
      </c>
      <c r="N452" s="23" t="s">
        <v>168</v>
      </c>
      <c r="O452" s="23">
        <v>55000</v>
      </c>
      <c r="P452" s="29" t="s">
        <v>879</v>
      </c>
      <c r="Q452" s="23" t="s">
        <v>2446</v>
      </c>
      <c r="R452" s="23"/>
      <c r="S452" s="23" t="s">
        <v>2381</v>
      </c>
    </row>
    <row r="453" spans="1:19" ht="28.8" x14ac:dyDescent="0.3">
      <c r="A453" s="23" t="s">
        <v>2447</v>
      </c>
      <c r="B453" s="23" t="s">
        <v>590</v>
      </c>
      <c r="C453" s="23" t="s">
        <v>591</v>
      </c>
      <c r="D453" s="23" t="s">
        <v>2368</v>
      </c>
      <c r="E453" s="23" t="s">
        <v>594</v>
      </c>
      <c r="F453" s="23" t="s">
        <v>475</v>
      </c>
      <c r="G453" s="23" t="s">
        <v>477</v>
      </c>
      <c r="H453" s="23" t="s">
        <v>599</v>
      </c>
      <c r="I453" s="23" t="s">
        <v>482</v>
      </c>
      <c r="J453" s="23" t="s">
        <v>157</v>
      </c>
      <c r="K453" s="23" t="s">
        <v>698</v>
      </c>
      <c r="L453" s="23" t="s">
        <v>522</v>
      </c>
      <c r="M453" s="23" t="s">
        <v>878</v>
      </c>
      <c r="N453" s="23" t="s">
        <v>131</v>
      </c>
      <c r="O453" s="23">
        <v>75000</v>
      </c>
      <c r="P453" s="29" t="s">
        <v>879</v>
      </c>
      <c r="Q453" s="23" t="s">
        <v>2448</v>
      </c>
      <c r="R453" s="23"/>
      <c r="S453" s="23" t="s">
        <v>2381</v>
      </c>
    </row>
    <row r="454" spans="1:19" ht="28.8" x14ac:dyDescent="0.3">
      <c r="A454" s="23" t="s">
        <v>2449</v>
      </c>
      <c r="B454" s="23" t="s">
        <v>590</v>
      </c>
      <c r="C454" s="23" t="s">
        <v>591</v>
      </c>
      <c r="D454" s="23" t="s">
        <v>2368</v>
      </c>
      <c r="E454" s="23" t="s">
        <v>594</v>
      </c>
      <c r="F454" s="23" t="s">
        <v>475</v>
      </c>
      <c r="G454" s="23" t="s">
        <v>477</v>
      </c>
      <c r="H454" s="23" t="s">
        <v>599</v>
      </c>
      <c r="I454" s="23" t="s">
        <v>482</v>
      </c>
      <c r="J454" s="23" t="s">
        <v>522</v>
      </c>
      <c r="K454" s="23" t="s">
        <v>700</v>
      </c>
      <c r="L454" s="23" t="s">
        <v>2450</v>
      </c>
      <c r="M454" s="23" t="s">
        <v>902</v>
      </c>
      <c r="N454" s="23" t="s">
        <v>929</v>
      </c>
      <c r="O454" s="23">
        <v>35000</v>
      </c>
      <c r="P454" s="29" t="s">
        <v>879</v>
      </c>
      <c r="Q454" s="23" t="s">
        <v>2451</v>
      </c>
      <c r="R454" s="23"/>
      <c r="S454" s="23" t="s">
        <v>2381</v>
      </c>
    </row>
    <row r="455" spans="1:19" ht="28.8" x14ac:dyDescent="0.3">
      <c r="A455" s="23" t="s">
        <v>2452</v>
      </c>
      <c r="B455" s="23" t="s">
        <v>590</v>
      </c>
      <c r="C455" s="23" t="s">
        <v>591</v>
      </c>
      <c r="D455" s="23" t="s">
        <v>2368</v>
      </c>
      <c r="E455" s="23" t="s">
        <v>594</v>
      </c>
      <c r="F455" s="23" t="s">
        <v>475</v>
      </c>
      <c r="G455" s="23" t="s">
        <v>477</v>
      </c>
      <c r="H455" s="23" t="s">
        <v>599</v>
      </c>
      <c r="I455" s="23" t="s">
        <v>482</v>
      </c>
      <c r="J455" s="23" t="s">
        <v>2450</v>
      </c>
      <c r="K455" s="23" t="s">
        <v>597</v>
      </c>
      <c r="L455" s="23" t="s">
        <v>598</v>
      </c>
      <c r="M455" s="23" t="s">
        <v>902</v>
      </c>
      <c r="N455" s="23" t="s">
        <v>168</v>
      </c>
      <c r="O455" s="23">
        <v>55000</v>
      </c>
      <c r="P455" s="29" t="s">
        <v>879</v>
      </c>
      <c r="Q455" s="23" t="s">
        <v>2453</v>
      </c>
      <c r="R455" s="23"/>
      <c r="S455" s="23" t="s">
        <v>2372</v>
      </c>
    </row>
    <row r="456" spans="1:19" ht="28.8" x14ac:dyDescent="0.3">
      <c r="A456" s="23" t="s">
        <v>2454</v>
      </c>
      <c r="B456" s="23" t="s">
        <v>590</v>
      </c>
      <c r="C456" s="23" t="s">
        <v>591</v>
      </c>
      <c r="D456" s="23" t="s">
        <v>2368</v>
      </c>
      <c r="E456" s="23" t="s">
        <v>594</v>
      </c>
      <c r="F456" s="23" t="s">
        <v>475</v>
      </c>
      <c r="G456" s="23" t="s">
        <v>477</v>
      </c>
      <c r="H456" s="23" t="s">
        <v>599</v>
      </c>
      <c r="I456" s="23" t="s">
        <v>482</v>
      </c>
      <c r="J456" s="23" t="s">
        <v>598</v>
      </c>
      <c r="K456" s="23"/>
      <c r="L456" s="23" t="s">
        <v>2455</v>
      </c>
      <c r="M456" s="23" t="s">
        <v>878</v>
      </c>
      <c r="N456" s="23" t="s">
        <v>929</v>
      </c>
      <c r="O456" s="23">
        <v>0</v>
      </c>
      <c r="P456" s="31" t="s">
        <v>1331</v>
      </c>
      <c r="Q456" s="23" t="s">
        <v>2456</v>
      </c>
      <c r="R456" s="23" t="s">
        <v>1333</v>
      </c>
      <c r="S456" s="23" t="s">
        <v>2457</v>
      </c>
    </row>
    <row r="457" spans="1:19" ht="28.8" x14ac:dyDescent="0.3">
      <c r="A457" s="23" t="s">
        <v>2458</v>
      </c>
      <c r="B457" s="23" t="s">
        <v>600</v>
      </c>
      <c r="C457" s="23" t="s">
        <v>591</v>
      </c>
      <c r="D457" s="23" t="s">
        <v>2459</v>
      </c>
      <c r="E457" s="23" t="s">
        <v>602</v>
      </c>
      <c r="F457" s="23" t="s">
        <v>503</v>
      </c>
      <c r="G457" s="23" t="s">
        <v>175</v>
      </c>
      <c r="H457" s="23" t="s">
        <v>599</v>
      </c>
      <c r="I457" s="23" t="s">
        <v>482</v>
      </c>
      <c r="J457" s="23" t="s">
        <v>2130</v>
      </c>
      <c r="K457" s="23" t="s">
        <v>2402</v>
      </c>
      <c r="L457" s="23" t="s">
        <v>2460</v>
      </c>
      <c r="M457" s="23" t="s">
        <v>902</v>
      </c>
      <c r="N457" s="23" t="s">
        <v>929</v>
      </c>
      <c r="O457" s="23">
        <v>75000</v>
      </c>
      <c r="P457" s="29" t="s">
        <v>879</v>
      </c>
      <c r="Q457" s="23" t="s">
        <v>2461</v>
      </c>
      <c r="R457" s="23"/>
      <c r="S457" s="23" t="s">
        <v>2372</v>
      </c>
    </row>
    <row r="458" spans="1:19" ht="28.8" x14ac:dyDescent="0.3">
      <c r="A458" s="23" t="s">
        <v>2462</v>
      </c>
      <c r="B458" s="23" t="s">
        <v>600</v>
      </c>
      <c r="C458" s="23" t="s">
        <v>591</v>
      </c>
      <c r="D458" s="23" t="s">
        <v>2459</v>
      </c>
      <c r="E458" s="23" t="s">
        <v>602</v>
      </c>
      <c r="F458" s="23" t="s">
        <v>503</v>
      </c>
      <c r="G458" s="23" t="s">
        <v>175</v>
      </c>
      <c r="H458" s="23" t="s">
        <v>599</v>
      </c>
      <c r="I458" s="23" t="s">
        <v>482</v>
      </c>
      <c r="J458" s="23" t="s">
        <v>2460</v>
      </c>
      <c r="K458" s="23" t="s">
        <v>2201</v>
      </c>
      <c r="L458" s="23" t="s">
        <v>242</v>
      </c>
      <c r="M458" s="23" t="s">
        <v>878</v>
      </c>
      <c r="N458" s="23" t="s">
        <v>896</v>
      </c>
      <c r="O458" s="23">
        <v>75000</v>
      </c>
      <c r="P458" s="29" t="s">
        <v>879</v>
      </c>
      <c r="Q458" s="23" t="s">
        <v>2463</v>
      </c>
      <c r="R458" s="23"/>
      <c r="S458" s="23" t="s">
        <v>2381</v>
      </c>
    </row>
    <row r="459" spans="1:19" ht="28.8" x14ac:dyDescent="0.3">
      <c r="A459" s="23" t="s">
        <v>2464</v>
      </c>
      <c r="B459" s="23" t="s">
        <v>600</v>
      </c>
      <c r="C459" s="23" t="s">
        <v>591</v>
      </c>
      <c r="D459" s="23" t="s">
        <v>2459</v>
      </c>
      <c r="E459" s="23" t="s">
        <v>602</v>
      </c>
      <c r="F459" s="23" t="s">
        <v>503</v>
      </c>
      <c r="G459" s="23" t="s">
        <v>175</v>
      </c>
      <c r="H459" s="23" t="s">
        <v>599</v>
      </c>
      <c r="I459" s="23" t="s">
        <v>482</v>
      </c>
      <c r="J459" s="23" t="s">
        <v>242</v>
      </c>
      <c r="K459" s="23" t="s">
        <v>451</v>
      </c>
      <c r="L459" s="23" t="s">
        <v>2131</v>
      </c>
      <c r="M459" s="23" t="s">
        <v>878</v>
      </c>
      <c r="N459" s="23" t="s">
        <v>219</v>
      </c>
      <c r="O459" s="23">
        <v>45000</v>
      </c>
      <c r="P459" s="29" t="s">
        <v>879</v>
      </c>
      <c r="Q459" s="23" t="s">
        <v>2465</v>
      </c>
      <c r="R459" s="23"/>
      <c r="S459" s="23" t="s">
        <v>2375</v>
      </c>
    </row>
    <row r="460" spans="1:19" ht="28.8" x14ac:dyDescent="0.3">
      <c r="A460" s="23" t="s">
        <v>2466</v>
      </c>
      <c r="B460" s="23" t="s">
        <v>600</v>
      </c>
      <c r="C460" s="23" t="s">
        <v>591</v>
      </c>
      <c r="D460" s="23" t="s">
        <v>2459</v>
      </c>
      <c r="E460" s="23" t="s">
        <v>602</v>
      </c>
      <c r="F460" s="23" t="s">
        <v>503</v>
      </c>
      <c r="G460" s="23" t="s">
        <v>175</v>
      </c>
      <c r="H460" s="23" t="s">
        <v>599</v>
      </c>
      <c r="I460" s="23" t="s">
        <v>482</v>
      </c>
      <c r="J460" s="23" t="s">
        <v>2131</v>
      </c>
      <c r="K460" s="23" t="s">
        <v>2467</v>
      </c>
      <c r="L460" s="23" t="s">
        <v>1212</v>
      </c>
      <c r="M460" s="23" t="s">
        <v>878</v>
      </c>
      <c r="N460" s="23" t="s">
        <v>929</v>
      </c>
      <c r="O460" s="23">
        <v>45000</v>
      </c>
      <c r="P460" s="29" t="s">
        <v>879</v>
      </c>
      <c r="Q460" s="23" t="s">
        <v>2468</v>
      </c>
      <c r="R460" s="23"/>
      <c r="S460" s="23" t="s">
        <v>2372</v>
      </c>
    </row>
    <row r="461" spans="1:19" ht="28.8" x14ac:dyDescent="0.3">
      <c r="A461" s="23" t="s">
        <v>2469</v>
      </c>
      <c r="B461" s="23" t="s">
        <v>600</v>
      </c>
      <c r="C461" s="23" t="s">
        <v>591</v>
      </c>
      <c r="D461" s="23" t="s">
        <v>2459</v>
      </c>
      <c r="E461" s="23" t="s">
        <v>602</v>
      </c>
      <c r="F461" s="23" t="s">
        <v>503</v>
      </c>
      <c r="G461" s="23" t="s">
        <v>175</v>
      </c>
      <c r="H461" s="23" t="s">
        <v>599</v>
      </c>
      <c r="I461" s="23" t="s">
        <v>482</v>
      </c>
      <c r="J461" s="23" t="s">
        <v>1212</v>
      </c>
      <c r="K461" s="23" t="s">
        <v>2210</v>
      </c>
      <c r="L461" s="23" t="s">
        <v>1164</v>
      </c>
      <c r="M461" s="23" t="s">
        <v>902</v>
      </c>
      <c r="N461" s="23" t="s">
        <v>111</v>
      </c>
      <c r="O461" s="23">
        <v>55000</v>
      </c>
      <c r="P461" s="29" t="s">
        <v>879</v>
      </c>
      <c r="Q461" s="23" t="s">
        <v>2470</v>
      </c>
      <c r="R461" s="23"/>
      <c r="S461" s="23" t="s">
        <v>2381</v>
      </c>
    </row>
    <row r="462" spans="1:19" ht="28.8" x14ac:dyDescent="0.3">
      <c r="A462" s="23" t="s">
        <v>2471</v>
      </c>
      <c r="B462" s="23" t="s">
        <v>600</v>
      </c>
      <c r="C462" s="23" t="s">
        <v>591</v>
      </c>
      <c r="D462" s="23" t="s">
        <v>2459</v>
      </c>
      <c r="E462" s="23" t="s">
        <v>602</v>
      </c>
      <c r="F462" s="23" t="s">
        <v>503</v>
      </c>
      <c r="G462" s="23" t="s">
        <v>175</v>
      </c>
      <c r="H462" s="23" t="s">
        <v>599</v>
      </c>
      <c r="I462" s="23" t="s">
        <v>482</v>
      </c>
      <c r="J462" s="23" t="s">
        <v>1164</v>
      </c>
      <c r="K462" s="23" t="s">
        <v>2213</v>
      </c>
      <c r="L462" s="23" t="s">
        <v>2135</v>
      </c>
      <c r="M462" s="23" t="s">
        <v>878</v>
      </c>
      <c r="N462" s="23" t="s">
        <v>920</v>
      </c>
      <c r="O462" s="23">
        <v>35000</v>
      </c>
      <c r="P462" s="29" t="s">
        <v>879</v>
      </c>
      <c r="Q462" s="23" t="s">
        <v>2472</v>
      </c>
      <c r="R462" s="23"/>
      <c r="S462" s="23" t="s">
        <v>2388</v>
      </c>
    </row>
    <row r="463" spans="1:19" ht="28.8" x14ac:dyDescent="0.3">
      <c r="A463" s="23" t="s">
        <v>2473</v>
      </c>
      <c r="B463" s="23" t="s">
        <v>600</v>
      </c>
      <c r="C463" s="23" t="s">
        <v>591</v>
      </c>
      <c r="D463" s="23" t="s">
        <v>2459</v>
      </c>
      <c r="E463" s="23" t="s">
        <v>602</v>
      </c>
      <c r="F463" s="23" t="s">
        <v>503</v>
      </c>
      <c r="G463" s="23" t="s">
        <v>175</v>
      </c>
      <c r="H463" s="23" t="s">
        <v>599</v>
      </c>
      <c r="I463" s="23" t="s">
        <v>482</v>
      </c>
      <c r="J463" s="23" t="s">
        <v>2135</v>
      </c>
      <c r="K463" s="23" t="s">
        <v>2138</v>
      </c>
      <c r="L463" s="23" t="s">
        <v>2474</v>
      </c>
      <c r="M463" s="23" t="s">
        <v>902</v>
      </c>
      <c r="N463" s="23" t="s">
        <v>131</v>
      </c>
      <c r="O463" s="23">
        <v>35000</v>
      </c>
      <c r="P463" s="29" t="s">
        <v>879</v>
      </c>
      <c r="Q463" s="23" t="s">
        <v>2475</v>
      </c>
      <c r="R463" s="23"/>
      <c r="S463" s="23" t="s">
        <v>2372</v>
      </c>
    </row>
    <row r="464" spans="1:19" ht="28.8" x14ac:dyDescent="0.3">
      <c r="A464" s="23" t="s">
        <v>2476</v>
      </c>
      <c r="B464" s="23" t="s">
        <v>600</v>
      </c>
      <c r="C464" s="23" t="s">
        <v>591</v>
      </c>
      <c r="D464" s="23" t="s">
        <v>2459</v>
      </c>
      <c r="E464" s="23" t="s">
        <v>602</v>
      </c>
      <c r="F464" s="23" t="s">
        <v>503</v>
      </c>
      <c r="G464" s="23" t="s">
        <v>175</v>
      </c>
      <c r="H464" s="23" t="s">
        <v>599</v>
      </c>
      <c r="I464" s="23" t="s">
        <v>482</v>
      </c>
      <c r="J464" s="23" t="s">
        <v>2474</v>
      </c>
      <c r="K464" s="23" t="s">
        <v>2424</v>
      </c>
      <c r="L464" s="23" t="s">
        <v>1168</v>
      </c>
      <c r="M464" s="23" t="s">
        <v>902</v>
      </c>
      <c r="N464" s="23" t="s">
        <v>929</v>
      </c>
      <c r="O464" s="23">
        <v>45000</v>
      </c>
      <c r="P464" s="29" t="s">
        <v>879</v>
      </c>
      <c r="Q464" s="23" t="s">
        <v>2477</v>
      </c>
      <c r="R464" s="23"/>
      <c r="S464" s="23" t="s">
        <v>2388</v>
      </c>
    </row>
    <row r="465" spans="1:19" ht="28.8" x14ac:dyDescent="0.3">
      <c r="A465" s="23" t="s">
        <v>2478</v>
      </c>
      <c r="B465" s="23" t="s">
        <v>600</v>
      </c>
      <c r="C465" s="23" t="s">
        <v>591</v>
      </c>
      <c r="D465" s="23" t="s">
        <v>2459</v>
      </c>
      <c r="E465" s="23" t="s">
        <v>602</v>
      </c>
      <c r="F465" s="23" t="s">
        <v>503</v>
      </c>
      <c r="G465" s="23" t="s">
        <v>175</v>
      </c>
      <c r="H465" s="23" t="s">
        <v>599</v>
      </c>
      <c r="I465" s="23" t="s">
        <v>482</v>
      </c>
      <c r="J465" s="23" t="s">
        <v>2139</v>
      </c>
      <c r="K465" s="23" t="s">
        <v>1517</v>
      </c>
      <c r="L465" s="23" t="s">
        <v>414</v>
      </c>
      <c r="M465" s="23" t="s">
        <v>2379</v>
      </c>
      <c r="N465" s="23" t="s">
        <v>168</v>
      </c>
      <c r="O465" s="23">
        <v>35000</v>
      </c>
      <c r="P465" s="29" t="s">
        <v>879</v>
      </c>
      <c r="Q465" s="23" t="s">
        <v>2479</v>
      </c>
      <c r="R465" s="23"/>
      <c r="S465" s="23" t="s">
        <v>2372</v>
      </c>
    </row>
    <row r="466" spans="1:19" ht="28.8" x14ac:dyDescent="0.3">
      <c r="A466" s="23" t="s">
        <v>2480</v>
      </c>
      <c r="B466" s="23" t="s">
        <v>600</v>
      </c>
      <c r="C466" s="23" t="s">
        <v>591</v>
      </c>
      <c r="D466" s="23" t="s">
        <v>2459</v>
      </c>
      <c r="E466" s="23" t="s">
        <v>602</v>
      </c>
      <c r="F466" s="23" t="s">
        <v>503</v>
      </c>
      <c r="G466" s="23" t="s">
        <v>175</v>
      </c>
      <c r="H466" s="23" t="s">
        <v>599</v>
      </c>
      <c r="I466" s="23" t="s">
        <v>482</v>
      </c>
      <c r="J466" s="23" t="s">
        <v>414</v>
      </c>
      <c r="K466" s="23" t="s">
        <v>480</v>
      </c>
      <c r="L466" s="23" t="s">
        <v>1172</v>
      </c>
      <c r="M466" s="23" t="s">
        <v>2379</v>
      </c>
      <c r="N466" s="23" t="s">
        <v>920</v>
      </c>
      <c r="O466" s="23">
        <v>75000</v>
      </c>
      <c r="P466" s="29" t="s">
        <v>879</v>
      </c>
      <c r="Q466" s="23" t="s">
        <v>2481</v>
      </c>
      <c r="R466" s="23"/>
      <c r="S466" s="23" t="s">
        <v>2375</v>
      </c>
    </row>
    <row r="467" spans="1:19" ht="28.8" x14ac:dyDescent="0.3">
      <c r="A467" s="23" t="s">
        <v>2482</v>
      </c>
      <c r="B467" s="23" t="s">
        <v>600</v>
      </c>
      <c r="C467" s="23" t="s">
        <v>591</v>
      </c>
      <c r="D467" s="23" t="s">
        <v>2459</v>
      </c>
      <c r="E467" s="23" t="s">
        <v>602</v>
      </c>
      <c r="F467" s="23" t="s">
        <v>503</v>
      </c>
      <c r="G467" s="23" t="s">
        <v>175</v>
      </c>
      <c r="H467" s="23" t="s">
        <v>599</v>
      </c>
      <c r="I467" s="23" t="s">
        <v>482</v>
      </c>
      <c r="J467" s="23" t="s">
        <v>1172</v>
      </c>
      <c r="K467" s="23" t="s">
        <v>1596</v>
      </c>
      <c r="L467" s="23" t="s">
        <v>2143</v>
      </c>
      <c r="M467" s="23" t="s">
        <v>902</v>
      </c>
      <c r="N467" s="23" t="s">
        <v>111</v>
      </c>
      <c r="O467" s="23">
        <v>75000</v>
      </c>
      <c r="P467" s="29" t="s">
        <v>879</v>
      </c>
      <c r="Q467" s="23" t="s">
        <v>2483</v>
      </c>
      <c r="R467" s="23"/>
      <c r="S467" s="23" t="s">
        <v>2372</v>
      </c>
    </row>
    <row r="468" spans="1:19" ht="28.8" x14ac:dyDescent="0.3">
      <c r="A468" s="23" t="s">
        <v>2484</v>
      </c>
      <c r="B468" s="23" t="s">
        <v>600</v>
      </c>
      <c r="C468" s="23" t="s">
        <v>591</v>
      </c>
      <c r="D468" s="23" t="s">
        <v>2459</v>
      </c>
      <c r="E468" s="23" t="s">
        <v>602</v>
      </c>
      <c r="F468" s="23" t="s">
        <v>503</v>
      </c>
      <c r="G468" s="23" t="s">
        <v>175</v>
      </c>
      <c r="H468" s="23" t="s">
        <v>599</v>
      </c>
      <c r="I468" s="23" t="s">
        <v>482</v>
      </c>
      <c r="J468" s="23" t="s">
        <v>2143</v>
      </c>
      <c r="K468" s="23" t="s">
        <v>2485</v>
      </c>
      <c r="L468" s="23" t="s">
        <v>2486</v>
      </c>
      <c r="M468" s="23" t="s">
        <v>878</v>
      </c>
      <c r="N468" s="23" t="s">
        <v>219</v>
      </c>
      <c r="O468" s="23">
        <v>45000</v>
      </c>
      <c r="P468" s="29" t="s">
        <v>879</v>
      </c>
      <c r="Q468" s="23" t="s">
        <v>2487</v>
      </c>
      <c r="R468" s="23"/>
      <c r="S468" s="23" t="s">
        <v>2372</v>
      </c>
    </row>
    <row r="469" spans="1:19" ht="28.8" x14ac:dyDescent="0.3">
      <c r="A469" s="23" t="s">
        <v>2488</v>
      </c>
      <c r="B469" s="23" t="s">
        <v>600</v>
      </c>
      <c r="C469" s="23" t="s">
        <v>591</v>
      </c>
      <c r="D469" s="23" t="s">
        <v>2459</v>
      </c>
      <c r="E469" s="23" t="s">
        <v>602</v>
      </c>
      <c r="F469" s="23" t="s">
        <v>503</v>
      </c>
      <c r="G469" s="23" t="s">
        <v>175</v>
      </c>
      <c r="H469" s="23" t="s">
        <v>599</v>
      </c>
      <c r="I469" s="23" t="s">
        <v>482</v>
      </c>
      <c r="J469" s="23" t="s">
        <v>2486</v>
      </c>
      <c r="K469" s="23" t="s">
        <v>1905</v>
      </c>
      <c r="L469" s="23" t="s">
        <v>1175</v>
      </c>
      <c r="M469" s="23" t="s">
        <v>2379</v>
      </c>
      <c r="N469" s="23" t="s">
        <v>219</v>
      </c>
      <c r="O469" s="23">
        <v>75000</v>
      </c>
      <c r="P469" s="29" t="s">
        <v>879</v>
      </c>
      <c r="Q469" s="23" t="s">
        <v>2489</v>
      </c>
      <c r="R469" s="23" t="s">
        <v>938</v>
      </c>
      <c r="S469" s="23" t="s">
        <v>2372</v>
      </c>
    </row>
    <row r="470" spans="1:19" ht="28.8" x14ac:dyDescent="0.3">
      <c r="A470" s="23" t="s">
        <v>2490</v>
      </c>
      <c r="B470" s="23" t="s">
        <v>600</v>
      </c>
      <c r="C470" s="23" t="s">
        <v>591</v>
      </c>
      <c r="D470" s="23" t="s">
        <v>2459</v>
      </c>
      <c r="E470" s="23" t="s">
        <v>602</v>
      </c>
      <c r="F470" s="23" t="s">
        <v>503</v>
      </c>
      <c r="G470" s="23" t="s">
        <v>175</v>
      </c>
      <c r="H470" s="23" t="s">
        <v>599</v>
      </c>
      <c r="I470" s="23" t="s">
        <v>482</v>
      </c>
      <c r="J470" s="23" t="s">
        <v>2146</v>
      </c>
      <c r="K470" s="23" t="s">
        <v>530</v>
      </c>
      <c r="L470" s="23" t="s">
        <v>2491</v>
      </c>
      <c r="M470" s="23" t="s">
        <v>878</v>
      </c>
      <c r="N470" s="23" t="s">
        <v>920</v>
      </c>
      <c r="O470" s="23">
        <v>55000</v>
      </c>
      <c r="P470" s="29" t="s">
        <v>879</v>
      </c>
      <c r="Q470" s="23" t="s">
        <v>2492</v>
      </c>
      <c r="R470" s="23"/>
      <c r="S470" s="23" t="s">
        <v>2381</v>
      </c>
    </row>
    <row r="471" spans="1:19" ht="28.8" x14ac:dyDescent="0.3">
      <c r="A471" s="23" t="s">
        <v>2493</v>
      </c>
      <c r="B471" s="23" t="s">
        <v>600</v>
      </c>
      <c r="C471" s="23" t="s">
        <v>591</v>
      </c>
      <c r="D471" s="23" t="s">
        <v>2459</v>
      </c>
      <c r="E471" s="23" t="s">
        <v>602</v>
      </c>
      <c r="F471" s="23" t="s">
        <v>503</v>
      </c>
      <c r="G471" s="23" t="s">
        <v>175</v>
      </c>
      <c r="H471" s="23" t="s">
        <v>599</v>
      </c>
      <c r="I471" s="23" t="s">
        <v>482</v>
      </c>
      <c r="J471" s="23" t="s">
        <v>2491</v>
      </c>
      <c r="K471" s="23" t="s">
        <v>2444</v>
      </c>
      <c r="L471" s="23" t="s">
        <v>1179</v>
      </c>
      <c r="M471" s="23" t="s">
        <v>2379</v>
      </c>
      <c r="N471" s="23" t="s">
        <v>168</v>
      </c>
      <c r="O471" s="23">
        <v>45000</v>
      </c>
      <c r="P471" s="29" t="s">
        <v>879</v>
      </c>
      <c r="Q471" s="23" t="s">
        <v>2494</v>
      </c>
      <c r="R471" s="23"/>
      <c r="S471" s="23" t="s">
        <v>2372</v>
      </c>
    </row>
    <row r="472" spans="1:19" ht="28.8" x14ac:dyDescent="0.3">
      <c r="A472" s="23" t="s">
        <v>2495</v>
      </c>
      <c r="B472" s="23" t="s">
        <v>600</v>
      </c>
      <c r="C472" s="23" t="s">
        <v>591</v>
      </c>
      <c r="D472" s="23" t="s">
        <v>2459</v>
      </c>
      <c r="E472" s="23" t="s">
        <v>602</v>
      </c>
      <c r="F472" s="23" t="s">
        <v>503</v>
      </c>
      <c r="G472" s="23" t="s">
        <v>175</v>
      </c>
      <c r="H472" s="23" t="s">
        <v>599</v>
      </c>
      <c r="I472" s="23" t="s">
        <v>482</v>
      </c>
      <c r="J472" s="23" t="s">
        <v>1179</v>
      </c>
      <c r="K472" s="23" t="s">
        <v>319</v>
      </c>
      <c r="L472" s="23" t="s">
        <v>262</v>
      </c>
      <c r="M472" s="23" t="s">
        <v>2379</v>
      </c>
      <c r="N472" s="23" t="s">
        <v>929</v>
      </c>
      <c r="O472" s="23">
        <v>45000</v>
      </c>
      <c r="P472" s="29" t="s">
        <v>879</v>
      </c>
      <c r="Q472" s="23" t="s">
        <v>2496</v>
      </c>
      <c r="R472" s="23"/>
      <c r="S472" s="23" t="s">
        <v>2388</v>
      </c>
    </row>
    <row r="473" spans="1:19" ht="28.8" x14ac:dyDescent="0.3">
      <c r="A473" s="23" t="s">
        <v>2497</v>
      </c>
      <c r="B473" s="23" t="s">
        <v>600</v>
      </c>
      <c r="C473" s="23" t="s">
        <v>591</v>
      </c>
      <c r="D473" s="23" t="s">
        <v>2459</v>
      </c>
      <c r="E473" s="23" t="s">
        <v>602</v>
      </c>
      <c r="F473" s="23" t="s">
        <v>503</v>
      </c>
      <c r="G473" s="23" t="s">
        <v>175</v>
      </c>
      <c r="H473" s="23" t="s">
        <v>599</v>
      </c>
      <c r="I473" s="23" t="s">
        <v>482</v>
      </c>
      <c r="J473" s="23" t="s">
        <v>262</v>
      </c>
      <c r="K473" s="23" t="s">
        <v>2498</v>
      </c>
      <c r="L473" s="23" t="s">
        <v>276</v>
      </c>
      <c r="M473" s="23" t="s">
        <v>878</v>
      </c>
      <c r="N473" s="23" t="s">
        <v>920</v>
      </c>
      <c r="O473" s="23">
        <v>35000</v>
      </c>
      <c r="P473" s="29" t="s">
        <v>879</v>
      </c>
      <c r="Q473" s="23" t="s">
        <v>2499</v>
      </c>
      <c r="R473" s="23" t="s">
        <v>938</v>
      </c>
      <c r="S473" s="23" t="s">
        <v>2388</v>
      </c>
    </row>
    <row r="474" spans="1:19" ht="28.8" x14ac:dyDescent="0.3">
      <c r="A474" s="23" t="s">
        <v>2500</v>
      </c>
      <c r="B474" s="23" t="s">
        <v>600</v>
      </c>
      <c r="C474" s="23" t="s">
        <v>591</v>
      </c>
      <c r="D474" s="23" t="s">
        <v>2459</v>
      </c>
      <c r="E474" s="23" t="s">
        <v>602</v>
      </c>
      <c r="F474" s="23" t="s">
        <v>503</v>
      </c>
      <c r="G474" s="23" t="s">
        <v>175</v>
      </c>
      <c r="H474" s="23" t="s">
        <v>599</v>
      </c>
      <c r="I474" s="23" t="s">
        <v>482</v>
      </c>
      <c r="J474" s="23" t="s">
        <v>276</v>
      </c>
      <c r="K474" s="23" t="s">
        <v>597</v>
      </c>
      <c r="L474" s="23" t="s">
        <v>158</v>
      </c>
      <c r="M474" s="23" t="s">
        <v>2379</v>
      </c>
      <c r="N474" s="23" t="s">
        <v>929</v>
      </c>
      <c r="O474" s="23">
        <v>55000</v>
      </c>
      <c r="P474" s="29" t="s">
        <v>879</v>
      </c>
      <c r="Q474" s="23" t="s">
        <v>2501</v>
      </c>
      <c r="R474" s="23"/>
      <c r="S474" s="23" t="s">
        <v>2372</v>
      </c>
    </row>
    <row r="475" spans="1:19" ht="28.8" x14ac:dyDescent="0.3">
      <c r="A475" s="23" t="s">
        <v>2502</v>
      </c>
      <c r="B475" s="23" t="s">
        <v>600</v>
      </c>
      <c r="C475" s="23" t="s">
        <v>591</v>
      </c>
      <c r="D475" s="23" t="s">
        <v>2459</v>
      </c>
      <c r="E475" s="23" t="s">
        <v>602</v>
      </c>
      <c r="F475" s="23" t="s">
        <v>503</v>
      </c>
      <c r="G475" s="23" t="s">
        <v>175</v>
      </c>
      <c r="H475" s="23" t="s">
        <v>599</v>
      </c>
      <c r="I475" s="23" t="s">
        <v>482</v>
      </c>
      <c r="J475" s="23" t="s">
        <v>158</v>
      </c>
      <c r="K475" s="23" t="s">
        <v>481</v>
      </c>
      <c r="L475" s="23" t="s">
        <v>531</v>
      </c>
      <c r="M475" s="23" t="s">
        <v>902</v>
      </c>
      <c r="N475" s="23" t="s">
        <v>111</v>
      </c>
      <c r="O475" s="23">
        <v>35000</v>
      </c>
      <c r="P475" s="29" t="s">
        <v>879</v>
      </c>
      <c r="Q475" s="23" t="s">
        <v>2503</v>
      </c>
      <c r="R475" s="23"/>
      <c r="S475" s="23" t="s">
        <v>2372</v>
      </c>
    </row>
    <row r="476" spans="1:19" ht="28.8" x14ac:dyDescent="0.3">
      <c r="A476" s="23" t="s">
        <v>2504</v>
      </c>
      <c r="B476" s="23" t="s">
        <v>606</v>
      </c>
      <c r="C476" s="23" t="s">
        <v>607</v>
      </c>
      <c r="D476" s="23" t="s">
        <v>2505</v>
      </c>
      <c r="E476" s="23" t="s">
        <v>610</v>
      </c>
      <c r="F476" s="23" t="s">
        <v>86</v>
      </c>
      <c r="G476" s="23" t="s">
        <v>88</v>
      </c>
      <c r="H476" s="23" t="s">
        <v>616</v>
      </c>
      <c r="I476" s="23" t="s">
        <v>615</v>
      </c>
      <c r="J476" s="23" t="s">
        <v>2506</v>
      </c>
      <c r="K476" s="23" t="s">
        <v>2507</v>
      </c>
      <c r="L476" s="23" t="s">
        <v>2508</v>
      </c>
      <c r="M476" s="23" t="s">
        <v>878</v>
      </c>
      <c r="N476" s="23" t="s">
        <v>168</v>
      </c>
      <c r="O476" s="23">
        <v>8000</v>
      </c>
      <c r="P476" s="29" t="s">
        <v>879</v>
      </c>
      <c r="Q476" s="23" t="s">
        <v>2509</v>
      </c>
      <c r="R476" s="23"/>
      <c r="S476" s="23" t="s">
        <v>2510</v>
      </c>
    </row>
    <row r="477" spans="1:19" ht="28.8" x14ac:dyDescent="0.3">
      <c r="A477" s="23" t="s">
        <v>2511</v>
      </c>
      <c r="B477" s="23" t="s">
        <v>606</v>
      </c>
      <c r="C477" s="23" t="s">
        <v>607</v>
      </c>
      <c r="D477" s="23" t="s">
        <v>2505</v>
      </c>
      <c r="E477" s="23" t="s">
        <v>610</v>
      </c>
      <c r="F477" s="23" t="s">
        <v>86</v>
      </c>
      <c r="G477" s="23" t="s">
        <v>88</v>
      </c>
      <c r="H477" s="23" t="s">
        <v>616</v>
      </c>
      <c r="I477" s="23" t="s">
        <v>615</v>
      </c>
      <c r="J477" s="23" t="s">
        <v>2508</v>
      </c>
      <c r="K477" s="23" t="s">
        <v>613</v>
      </c>
      <c r="L477" s="23" t="s">
        <v>614</v>
      </c>
      <c r="M477" s="23" t="s">
        <v>878</v>
      </c>
      <c r="N477" s="23" t="s">
        <v>168</v>
      </c>
      <c r="O477" s="23">
        <v>8000</v>
      </c>
      <c r="P477" s="29" t="s">
        <v>879</v>
      </c>
      <c r="Q477" s="23" t="s">
        <v>2512</v>
      </c>
      <c r="R477" s="23" t="s">
        <v>945</v>
      </c>
      <c r="S477" s="23" t="s">
        <v>2513</v>
      </c>
    </row>
    <row r="478" spans="1:19" ht="28.8" x14ac:dyDescent="0.3">
      <c r="A478" s="23" t="s">
        <v>2514</v>
      </c>
      <c r="B478" s="23" t="s">
        <v>606</v>
      </c>
      <c r="C478" s="23" t="s">
        <v>607</v>
      </c>
      <c r="D478" s="23" t="s">
        <v>2505</v>
      </c>
      <c r="E478" s="23" t="s">
        <v>610</v>
      </c>
      <c r="F478" s="23" t="s">
        <v>86</v>
      </c>
      <c r="G478" s="23" t="s">
        <v>88</v>
      </c>
      <c r="H478" s="23" t="s">
        <v>616</v>
      </c>
      <c r="I478" s="23" t="s">
        <v>615</v>
      </c>
      <c r="J478" s="23" t="s">
        <v>614</v>
      </c>
      <c r="K478" s="23"/>
      <c r="L478" s="23" t="s">
        <v>2515</v>
      </c>
      <c r="M478" s="23" t="s">
        <v>878</v>
      </c>
      <c r="N478" s="23" t="s">
        <v>111</v>
      </c>
      <c r="O478" s="23">
        <v>0</v>
      </c>
      <c r="P478" s="30" t="s">
        <v>948</v>
      </c>
      <c r="Q478" s="23" t="s">
        <v>2516</v>
      </c>
      <c r="R478" s="23"/>
      <c r="S478" s="23" t="s">
        <v>1066</v>
      </c>
    </row>
    <row r="479" spans="1:19" ht="28.8" x14ac:dyDescent="0.3">
      <c r="A479" s="23" t="s">
        <v>2517</v>
      </c>
      <c r="B479" s="23" t="s">
        <v>618</v>
      </c>
      <c r="C479" s="23" t="s">
        <v>607</v>
      </c>
      <c r="D479" s="23" t="s">
        <v>2518</v>
      </c>
      <c r="E479" s="23" t="s">
        <v>621</v>
      </c>
      <c r="F479" s="23" t="s">
        <v>153</v>
      </c>
      <c r="G479" s="23" t="s">
        <v>175</v>
      </c>
      <c r="H479" s="23" t="s">
        <v>616</v>
      </c>
      <c r="I479" s="23" t="s">
        <v>615</v>
      </c>
      <c r="J479" s="23" t="s">
        <v>2519</v>
      </c>
      <c r="K479" s="23" t="s">
        <v>2520</v>
      </c>
      <c r="L479" s="23" t="s">
        <v>2521</v>
      </c>
      <c r="M479" s="23" t="s">
        <v>878</v>
      </c>
      <c r="N479" s="23" t="s">
        <v>111</v>
      </c>
      <c r="O479" s="23">
        <v>10000</v>
      </c>
      <c r="P479" s="29" t="s">
        <v>879</v>
      </c>
      <c r="Q479" s="23" t="s">
        <v>2522</v>
      </c>
      <c r="R479" s="23"/>
      <c r="S479" s="23" t="s">
        <v>2513</v>
      </c>
    </row>
    <row r="480" spans="1:19" ht="28.8" x14ac:dyDescent="0.3">
      <c r="A480" s="23" t="s">
        <v>2523</v>
      </c>
      <c r="B480" s="23" t="s">
        <v>618</v>
      </c>
      <c r="C480" s="23" t="s">
        <v>607</v>
      </c>
      <c r="D480" s="23" t="s">
        <v>2518</v>
      </c>
      <c r="E480" s="23" t="s">
        <v>621</v>
      </c>
      <c r="F480" s="23" t="s">
        <v>153</v>
      </c>
      <c r="G480" s="23" t="s">
        <v>175</v>
      </c>
      <c r="H480" s="23" t="s">
        <v>616</v>
      </c>
      <c r="I480" s="23" t="s">
        <v>615</v>
      </c>
      <c r="J480" s="23" t="s">
        <v>2521</v>
      </c>
      <c r="K480" s="23" t="s">
        <v>2521</v>
      </c>
      <c r="L480" s="23" t="s">
        <v>2524</v>
      </c>
      <c r="M480" s="23" t="s">
        <v>878</v>
      </c>
      <c r="N480" s="23" t="s">
        <v>111</v>
      </c>
      <c r="O480" s="23">
        <v>8000</v>
      </c>
      <c r="P480" s="29" t="s">
        <v>879</v>
      </c>
      <c r="Q480" s="23" t="s">
        <v>2525</v>
      </c>
      <c r="R480" s="23"/>
      <c r="S480" s="23" t="s">
        <v>2510</v>
      </c>
    </row>
    <row r="481" spans="1:19" ht="28.8" x14ac:dyDescent="0.3">
      <c r="A481" s="23" t="s">
        <v>2526</v>
      </c>
      <c r="B481" s="23" t="s">
        <v>618</v>
      </c>
      <c r="C481" s="23" t="s">
        <v>607</v>
      </c>
      <c r="D481" s="23" t="s">
        <v>2518</v>
      </c>
      <c r="E481" s="23" t="s">
        <v>621</v>
      </c>
      <c r="F481" s="23" t="s">
        <v>153</v>
      </c>
      <c r="G481" s="23" t="s">
        <v>175</v>
      </c>
      <c r="H481" s="23" t="s">
        <v>616</v>
      </c>
      <c r="I481" s="23" t="s">
        <v>615</v>
      </c>
      <c r="J481" s="23" t="s">
        <v>2524</v>
      </c>
      <c r="K481" s="23" t="s">
        <v>2527</v>
      </c>
      <c r="L481" s="23" t="s">
        <v>2528</v>
      </c>
      <c r="M481" s="23" t="s">
        <v>878</v>
      </c>
      <c r="N481" s="23" t="s">
        <v>111</v>
      </c>
      <c r="O481" s="23">
        <v>5000</v>
      </c>
      <c r="P481" s="29" t="s">
        <v>879</v>
      </c>
      <c r="Q481" s="23" t="s">
        <v>2529</v>
      </c>
      <c r="R481" s="23"/>
      <c r="S481" s="23" t="s">
        <v>2510</v>
      </c>
    </row>
    <row r="482" spans="1:19" ht="28.8" x14ac:dyDescent="0.3">
      <c r="A482" s="23" t="s">
        <v>2530</v>
      </c>
      <c r="B482" s="23" t="s">
        <v>618</v>
      </c>
      <c r="C482" s="23" t="s">
        <v>607</v>
      </c>
      <c r="D482" s="23" t="s">
        <v>2518</v>
      </c>
      <c r="E482" s="23" t="s">
        <v>621</v>
      </c>
      <c r="F482" s="23" t="s">
        <v>153</v>
      </c>
      <c r="G482" s="23" t="s">
        <v>175</v>
      </c>
      <c r="H482" s="23" t="s">
        <v>616</v>
      </c>
      <c r="I482" s="23" t="s">
        <v>615</v>
      </c>
      <c r="J482" s="23" t="s">
        <v>2528</v>
      </c>
      <c r="K482" s="23" t="s">
        <v>625</v>
      </c>
      <c r="L482" s="23" t="s">
        <v>2531</v>
      </c>
      <c r="M482" s="23" t="s">
        <v>878</v>
      </c>
      <c r="N482" s="23" t="s">
        <v>920</v>
      </c>
      <c r="O482" s="23">
        <v>5000</v>
      </c>
      <c r="P482" s="29" t="s">
        <v>879</v>
      </c>
      <c r="Q482" s="23" t="s">
        <v>2532</v>
      </c>
      <c r="R482" s="23"/>
      <c r="S482" s="23" t="s">
        <v>2510</v>
      </c>
    </row>
    <row r="483" spans="1:19" ht="28.8" x14ac:dyDescent="0.3">
      <c r="A483" s="23" t="s">
        <v>2533</v>
      </c>
      <c r="B483" s="23" t="s">
        <v>618</v>
      </c>
      <c r="C483" s="23" t="s">
        <v>607</v>
      </c>
      <c r="D483" s="23" t="s">
        <v>2518</v>
      </c>
      <c r="E483" s="23" t="s">
        <v>621</v>
      </c>
      <c r="F483" s="23" t="s">
        <v>153</v>
      </c>
      <c r="G483" s="23" t="s">
        <v>175</v>
      </c>
      <c r="H483" s="23" t="s">
        <v>616</v>
      </c>
      <c r="I483" s="23" t="s">
        <v>615</v>
      </c>
      <c r="J483" s="23" t="s">
        <v>626</v>
      </c>
      <c r="K483" s="23"/>
      <c r="L483" s="23" t="s">
        <v>259</v>
      </c>
      <c r="M483" s="23" t="s">
        <v>878</v>
      </c>
      <c r="N483" s="23" t="s">
        <v>896</v>
      </c>
      <c r="O483" s="23">
        <v>0</v>
      </c>
      <c r="P483" s="30" t="s">
        <v>948</v>
      </c>
      <c r="Q483" s="23" t="s">
        <v>2534</v>
      </c>
      <c r="R483" s="23"/>
      <c r="S483" s="23" t="s">
        <v>1396</v>
      </c>
    </row>
    <row r="484" spans="1:19" ht="28.8" x14ac:dyDescent="0.3">
      <c r="A484" s="23" t="s">
        <v>2535</v>
      </c>
      <c r="B484" s="23" t="s">
        <v>627</v>
      </c>
      <c r="C484" s="23" t="s">
        <v>628</v>
      </c>
      <c r="D484" s="23" t="s">
        <v>2536</v>
      </c>
      <c r="E484" s="23" t="s">
        <v>632</v>
      </c>
      <c r="F484" s="23" t="s">
        <v>475</v>
      </c>
      <c r="G484" s="23" t="s">
        <v>477</v>
      </c>
      <c r="H484" s="23" t="s">
        <v>635</v>
      </c>
      <c r="I484" s="23" t="s">
        <v>482</v>
      </c>
      <c r="J484" s="23" t="s">
        <v>2186</v>
      </c>
      <c r="K484" s="23" t="s">
        <v>2394</v>
      </c>
      <c r="L484" s="23" t="s">
        <v>1203</v>
      </c>
      <c r="M484" s="23" t="s">
        <v>878</v>
      </c>
      <c r="N484" s="23" t="s">
        <v>920</v>
      </c>
      <c r="O484" s="23">
        <v>55000</v>
      </c>
      <c r="P484" s="29" t="s">
        <v>879</v>
      </c>
      <c r="Q484" s="23" t="s">
        <v>2537</v>
      </c>
      <c r="R484" s="23"/>
      <c r="S484" s="23" t="s">
        <v>2538</v>
      </c>
    </row>
    <row r="485" spans="1:19" ht="28.8" x14ac:dyDescent="0.3">
      <c r="A485" s="23" t="s">
        <v>2539</v>
      </c>
      <c r="B485" s="23" t="s">
        <v>627</v>
      </c>
      <c r="C485" s="23" t="s">
        <v>628</v>
      </c>
      <c r="D485" s="23" t="s">
        <v>2536</v>
      </c>
      <c r="E485" s="23" t="s">
        <v>632</v>
      </c>
      <c r="F485" s="23" t="s">
        <v>475</v>
      </c>
      <c r="G485" s="23" t="s">
        <v>477</v>
      </c>
      <c r="H485" s="23" t="s">
        <v>635</v>
      </c>
      <c r="I485" s="23" t="s">
        <v>482</v>
      </c>
      <c r="J485" s="23" t="s">
        <v>1203</v>
      </c>
      <c r="K485" s="23" t="s">
        <v>1365</v>
      </c>
      <c r="L485" s="23" t="s">
        <v>2192</v>
      </c>
      <c r="M485" s="23" t="s">
        <v>138</v>
      </c>
      <c r="N485" s="23" t="s">
        <v>896</v>
      </c>
      <c r="O485" s="23">
        <v>40000</v>
      </c>
      <c r="P485" s="29" t="s">
        <v>879</v>
      </c>
      <c r="Q485" s="23" t="s">
        <v>2540</v>
      </c>
      <c r="R485" s="23"/>
      <c r="S485" s="23" t="s">
        <v>2541</v>
      </c>
    </row>
    <row r="486" spans="1:19" ht="28.8" x14ac:dyDescent="0.3">
      <c r="A486" s="23" t="s">
        <v>2542</v>
      </c>
      <c r="B486" s="23" t="s">
        <v>627</v>
      </c>
      <c r="C486" s="23" t="s">
        <v>628</v>
      </c>
      <c r="D486" s="23" t="s">
        <v>2536</v>
      </c>
      <c r="E486" s="23" t="s">
        <v>632</v>
      </c>
      <c r="F486" s="23" t="s">
        <v>475</v>
      </c>
      <c r="G486" s="23" t="s">
        <v>477</v>
      </c>
      <c r="H486" s="23" t="s">
        <v>635</v>
      </c>
      <c r="I486" s="23" t="s">
        <v>482</v>
      </c>
      <c r="J486" s="23" t="s">
        <v>2192</v>
      </c>
      <c r="K486" s="23" t="s">
        <v>2399</v>
      </c>
      <c r="L486" s="23" t="s">
        <v>2196</v>
      </c>
      <c r="M486" s="23" t="s">
        <v>878</v>
      </c>
      <c r="N486" s="23" t="s">
        <v>896</v>
      </c>
      <c r="O486" s="23">
        <v>65000</v>
      </c>
      <c r="P486" s="29" t="s">
        <v>879</v>
      </c>
      <c r="Q486" s="23" t="s">
        <v>2543</v>
      </c>
      <c r="R486" s="23"/>
      <c r="S486" s="23" t="s">
        <v>2544</v>
      </c>
    </row>
    <row r="487" spans="1:19" ht="28.8" x14ac:dyDescent="0.3">
      <c r="A487" s="23" t="s">
        <v>2545</v>
      </c>
      <c r="B487" s="23" t="s">
        <v>627</v>
      </c>
      <c r="C487" s="23" t="s">
        <v>628</v>
      </c>
      <c r="D487" s="23" t="s">
        <v>2536</v>
      </c>
      <c r="E487" s="23" t="s">
        <v>632</v>
      </c>
      <c r="F487" s="23" t="s">
        <v>475</v>
      </c>
      <c r="G487" s="23" t="s">
        <v>477</v>
      </c>
      <c r="H487" s="23" t="s">
        <v>635</v>
      </c>
      <c r="I487" s="23" t="s">
        <v>482</v>
      </c>
      <c r="J487" s="23" t="s">
        <v>2196</v>
      </c>
      <c r="K487" s="23" t="s">
        <v>2546</v>
      </c>
      <c r="L487" s="23" t="s">
        <v>717</v>
      </c>
      <c r="M487" s="23" t="s">
        <v>2547</v>
      </c>
      <c r="N487" s="23" t="s">
        <v>920</v>
      </c>
      <c r="O487" s="23">
        <v>65000</v>
      </c>
      <c r="P487" s="29" t="s">
        <v>879</v>
      </c>
      <c r="Q487" s="23" t="s">
        <v>2548</v>
      </c>
      <c r="R487" s="23" t="s">
        <v>945</v>
      </c>
      <c r="S487" s="23" t="s">
        <v>2538</v>
      </c>
    </row>
    <row r="488" spans="1:19" ht="28.8" x14ac:dyDescent="0.3">
      <c r="A488" s="23" t="s">
        <v>2549</v>
      </c>
      <c r="B488" s="23" t="s">
        <v>627</v>
      </c>
      <c r="C488" s="23" t="s">
        <v>628</v>
      </c>
      <c r="D488" s="23" t="s">
        <v>2536</v>
      </c>
      <c r="E488" s="23" t="s">
        <v>632</v>
      </c>
      <c r="F488" s="23" t="s">
        <v>475</v>
      </c>
      <c r="G488" s="23" t="s">
        <v>477</v>
      </c>
      <c r="H488" s="23" t="s">
        <v>635</v>
      </c>
      <c r="I488" s="23" t="s">
        <v>482</v>
      </c>
      <c r="J488" s="23" t="s">
        <v>717</v>
      </c>
      <c r="K488" s="23" t="s">
        <v>2550</v>
      </c>
      <c r="L488" s="23" t="s">
        <v>300</v>
      </c>
      <c r="M488" s="23" t="s">
        <v>878</v>
      </c>
      <c r="N488" s="23" t="s">
        <v>131</v>
      </c>
      <c r="O488" s="23">
        <v>65000</v>
      </c>
      <c r="P488" s="29" t="s">
        <v>879</v>
      </c>
      <c r="Q488" s="23" t="s">
        <v>2551</v>
      </c>
      <c r="R488" s="23"/>
      <c r="S488" s="23" t="s">
        <v>2541</v>
      </c>
    </row>
    <row r="489" spans="1:19" ht="28.8" x14ac:dyDescent="0.3">
      <c r="A489" s="23" t="s">
        <v>2552</v>
      </c>
      <c r="B489" s="23" t="s">
        <v>627</v>
      </c>
      <c r="C489" s="23" t="s">
        <v>628</v>
      </c>
      <c r="D489" s="23" t="s">
        <v>2536</v>
      </c>
      <c r="E489" s="23" t="s">
        <v>632</v>
      </c>
      <c r="F489" s="23" t="s">
        <v>475</v>
      </c>
      <c r="G489" s="23" t="s">
        <v>477</v>
      </c>
      <c r="H489" s="23" t="s">
        <v>635</v>
      </c>
      <c r="I489" s="23" t="s">
        <v>482</v>
      </c>
      <c r="J489" s="23" t="s">
        <v>300</v>
      </c>
      <c r="K489" s="23" t="s">
        <v>300</v>
      </c>
      <c r="L489" s="23" t="s">
        <v>2204</v>
      </c>
      <c r="M489" s="23" t="s">
        <v>138</v>
      </c>
      <c r="N489" s="23" t="s">
        <v>929</v>
      </c>
      <c r="O489" s="23">
        <v>65000</v>
      </c>
      <c r="P489" s="29" t="s">
        <v>879</v>
      </c>
      <c r="Q489" s="23" t="s">
        <v>2553</v>
      </c>
      <c r="R489" s="23"/>
      <c r="S489" s="23" t="s">
        <v>2541</v>
      </c>
    </row>
    <row r="490" spans="1:19" ht="28.8" x14ac:dyDescent="0.3">
      <c r="A490" s="23" t="s">
        <v>2554</v>
      </c>
      <c r="B490" s="23" t="s">
        <v>627</v>
      </c>
      <c r="C490" s="23" t="s">
        <v>628</v>
      </c>
      <c r="D490" s="23" t="s">
        <v>2536</v>
      </c>
      <c r="E490" s="23" t="s">
        <v>632</v>
      </c>
      <c r="F490" s="23" t="s">
        <v>475</v>
      </c>
      <c r="G490" s="23" t="s">
        <v>477</v>
      </c>
      <c r="H490" s="23" t="s">
        <v>635</v>
      </c>
      <c r="I490" s="23" t="s">
        <v>482</v>
      </c>
      <c r="J490" s="23" t="s">
        <v>2204</v>
      </c>
      <c r="K490" s="23" t="s">
        <v>2204</v>
      </c>
      <c r="L490" s="23" t="s">
        <v>357</v>
      </c>
      <c r="M490" s="23" t="s">
        <v>878</v>
      </c>
      <c r="N490" s="23" t="s">
        <v>929</v>
      </c>
      <c r="O490" s="23">
        <v>65000</v>
      </c>
      <c r="P490" s="29" t="s">
        <v>879</v>
      </c>
      <c r="Q490" s="23" t="s">
        <v>2555</v>
      </c>
      <c r="R490" s="23"/>
      <c r="S490" s="23" t="s">
        <v>2538</v>
      </c>
    </row>
    <row r="491" spans="1:19" ht="28.8" x14ac:dyDescent="0.3">
      <c r="A491" s="23" t="s">
        <v>2556</v>
      </c>
      <c r="B491" s="23" t="s">
        <v>627</v>
      </c>
      <c r="C491" s="23" t="s">
        <v>628</v>
      </c>
      <c r="D491" s="23" t="s">
        <v>2536</v>
      </c>
      <c r="E491" s="23" t="s">
        <v>632</v>
      </c>
      <c r="F491" s="23" t="s">
        <v>475</v>
      </c>
      <c r="G491" s="23" t="s">
        <v>477</v>
      </c>
      <c r="H491" s="23" t="s">
        <v>635</v>
      </c>
      <c r="I491" s="23" t="s">
        <v>482</v>
      </c>
      <c r="J491" s="23" t="s">
        <v>357</v>
      </c>
      <c r="K491" s="23" t="s">
        <v>2328</v>
      </c>
      <c r="L491" s="23" t="s">
        <v>1817</v>
      </c>
      <c r="M491" s="23" t="s">
        <v>138</v>
      </c>
      <c r="N491" s="23" t="s">
        <v>131</v>
      </c>
      <c r="O491" s="23">
        <v>65000</v>
      </c>
      <c r="P491" s="29" t="s">
        <v>879</v>
      </c>
      <c r="Q491" s="23" t="s">
        <v>2557</v>
      </c>
      <c r="R491" s="23"/>
      <c r="S491" s="23" t="s">
        <v>2541</v>
      </c>
    </row>
    <row r="492" spans="1:19" ht="28.8" x14ac:dyDescent="0.3">
      <c r="A492" s="23" t="s">
        <v>2558</v>
      </c>
      <c r="B492" s="23" t="s">
        <v>627</v>
      </c>
      <c r="C492" s="23" t="s">
        <v>628</v>
      </c>
      <c r="D492" s="23" t="s">
        <v>2536</v>
      </c>
      <c r="E492" s="23" t="s">
        <v>632</v>
      </c>
      <c r="F492" s="23" t="s">
        <v>475</v>
      </c>
      <c r="G492" s="23" t="s">
        <v>477</v>
      </c>
      <c r="H492" s="23" t="s">
        <v>635</v>
      </c>
      <c r="I492" s="23" t="s">
        <v>482</v>
      </c>
      <c r="J492" s="23" t="s">
        <v>1817</v>
      </c>
      <c r="K492" s="23" t="s">
        <v>1589</v>
      </c>
      <c r="L492" s="23" t="s">
        <v>2138</v>
      </c>
      <c r="M492" s="23" t="s">
        <v>878</v>
      </c>
      <c r="N492" s="23" t="s">
        <v>219</v>
      </c>
      <c r="O492" s="23">
        <v>40000</v>
      </c>
      <c r="P492" s="29" t="s">
        <v>879</v>
      </c>
      <c r="Q492" s="23" t="s">
        <v>2559</v>
      </c>
      <c r="R492" s="23"/>
      <c r="S492" s="23" t="s">
        <v>2538</v>
      </c>
    </row>
    <row r="493" spans="1:19" ht="28.8" x14ac:dyDescent="0.3">
      <c r="A493" s="23" t="s">
        <v>2560</v>
      </c>
      <c r="B493" s="23" t="s">
        <v>627</v>
      </c>
      <c r="C493" s="23" t="s">
        <v>628</v>
      </c>
      <c r="D493" s="23" t="s">
        <v>2536</v>
      </c>
      <c r="E493" s="23" t="s">
        <v>632</v>
      </c>
      <c r="F493" s="23" t="s">
        <v>475</v>
      </c>
      <c r="G493" s="23" t="s">
        <v>477</v>
      </c>
      <c r="H493" s="23" t="s">
        <v>635</v>
      </c>
      <c r="I493" s="23" t="s">
        <v>482</v>
      </c>
      <c r="J493" s="23" t="s">
        <v>2138</v>
      </c>
      <c r="K493" s="23" t="s">
        <v>2561</v>
      </c>
      <c r="L493" s="23" t="s">
        <v>1213</v>
      </c>
      <c r="M493" s="23" t="s">
        <v>2547</v>
      </c>
      <c r="N493" s="23" t="s">
        <v>896</v>
      </c>
      <c r="O493" s="23">
        <v>65000</v>
      </c>
      <c r="P493" s="29" t="s">
        <v>879</v>
      </c>
      <c r="Q493" s="23" t="s">
        <v>2562</v>
      </c>
      <c r="R493" s="23" t="s">
        <v>945</v>
      </c>
      <c r="S493" s="23" t="s">
        <v>2544</v>
      </c>
    </row>
    <row r="494" spans="1:19" ht="28.8" x14ac:dyDescent="0.3">
      <c r="A494" s="23" t="s">
        <v>2563</v>
      </c>
      <c r="B494" s="23" t="s">
        <v>627</v>
      </c>
      <c r="C494" s="23" t="s">
        <v>628</v>
      </c>
      <c r="D494" s="23" t="s">
        <v>2536</v>
      </c>
      <c r="E494" s="23" t="s">
        <v>632</v>
      </c>
      <c r="F494" s="23" t="s">
        <v>475</v>
      </c>
      <c r="G494" s="23" t="s">
        <v>477</v>
      </c>
      <c r="H494" s="23" t="s">
        <v>635</v>
      </c>
      <c r="I494" s="23" t="s">
        <v>482</v>
      </c>
      <c r="J494" s="23" t="s">
        <v>1213</v>
      </c>
      <c r="K494" s="23" t="s">
        <v>2422</v>
      </c>
      <c r="L494" s="23" t="s">
        <v>2218</v>
      </c>
      <c r="M494" s="23" t="s">
        <v>2547</v>
      </c>
      <c r="N494" s="23" t="s">
        <v>929</v>
      </c>
      <c r="O494" s="23">
        <v>55000</v>
      </c>
      <c r="P494" s="29" t="s">
        <v>879</v>
      </c>
      <c r="Q494" s="23" t="s">
        <v>2564</v>
      </c>
      <c r="R494" s="23"/>
      <c r="S494" s="23" t="s">
        <v>2544</v>
      </c>
    </row>
    <row r="495" spans="1:19" ht="28.8" x14ac:dyDescent="0.3">
      <c r="A495" s="23" t="s">
        <v>2565</v>
      </c>
      <c r="B495" s="23" t="s">
        <v>627</v>
      </c>
      <c r="C495" s="23" t="s">
        <v>628</v>
      </c>
      <c r="D495" s="23" t="s">
        <v>2536</v>
      </c>
      <c r="E495" s="23" t="s">
        <v>632</v>
      </c>
      <c r="F495" s="23" t="s">
        <v>475</v>
      </c>
      <c r="G495" s="23" t="s">
        <v>477</v>
      </c>
      <c r="H495" s="23" t="s">
        <v>635</v>
      </c>
      <c r="I495" s="23" t="s">
        <v>482</v>
      </c>
      <c r="J495" s="23" t="s">
        <v>2218</v>
      </c>
      <c r="K495" s="23" t="s">
        <v>2068</v>
      </c>
      <c r="L495" s="23" t="s">
        <v>1759</v>
      </c>
      <c r="M495" s="23" t="s">
        <v>2547</v>
      </c>
      <c r="N495" s="23" t="s">
        <v>896</v>
      </c>
      <c r="O495" s="23">
        <v>55000</v>
      </c>
      <c r="P495" s="29" t="s">
        <v>879</v>
      </c>
      <c r="Q495" s="23" t="s">
        <v>2566</v>
      </c>
      <c r="R495" s="23"/>
      <c r="S495" s="23" t="s">
        <v>2541</v>
      </c>
    </row>
    <row r="496" spans="1:19" ht="28.8" x14ac:dyDescent="0.3">
      <c r="A496" s="23" t="s">
        <v>2567</v>
      </c>
      <c r="B496" s="23" t="s">
        <v>627</v>
      </c>
      <c r="C496" s="23" t="s">
        <v>628</v>
      </c>
      <c r="D496" s="23" t="s">
        <v>2536</v>
      </c>
      <c r="E496" s="23" t="s">
        <v>632</v>
      </c>
      <c r="F496" s="23" t="s">
        <v>475</v>
      </c>
      <c r="G496" s="23" t="s">
        <v>477</v>
      </c>
      <c r="H496" s="23" t="s">
        <v>635</v>
      </c>
      <c r="I496" s="23" t="s">
        <v>482</v>
      </c>
      <c r="J496" s="23" t="s">
        <v>1759</v>
      </c>
      <c r="K496" s="23" t="s">
        <v>2139</v>
      </c>
      <c r="L496" s="23" t="s">
        <v>1216</v>
      </c>
      <c r="M496" s="23" t="s">
        <v>138</v>
      </c>
      <c r="N496" s="23" t="s">
        <v>929</v>
      </c>
      <c r="O496" s="23">
        <v>65000</v>
      </c>
      <c r="P496" s="29" t="s">
        <v>879</v>
      </c>
      <c r="Q496" s="23" t="s">
        <v>2568</v>
      </c>
      <c r="R496" s="23"/>
      <c r="S496" s="23" t="s">
        <v>2541</v>
      </c>
    </row>
    <row r="497" spans="1:19" ht="28.8" x14ac:dyDescent="0.3">
      <c r="A497" s="23" t="s">
        <v>2569</v>
      </c>
      <c r="B497" s="23" t="s">
        <v>627</v>
      </c>
      <c r="C497" s="23" t="s">
        <v>628</v>
      </c>
      <c r="D497" s="23" t="s">
        <v>2536</v>
      </c>
      <c r="E497" s="23" t="s">
        <v>632</v>
      </c>
      <c r="F497" s="23" t="s">
        <v>475</v>
      </c>
      <c r="G497" s="23" t="s">
        <v>477</v>
      </c>
      <c r="H497" s="23" t="s">
        <v>635</v>
      </c>
      <c r="I497" s="23" t="s">
        <v>482</v>
      </c>
      <c r="J497" s="23" t="s">
        <v>1216</v>
      </c>
      <c r="K497" s="23" t="s">
        <v>2336</v>
      </c>
      <c r="L497" s="23" t="s">
        <v>2224</v>
      </c>
      <c r="M497" s="23" t="s">
        <v>878</v>
      </c>
      <c r="N497" s="23" t="s">
        <v>896</v>
      </c>
      <c r="O497" s="23">
        <v>55000</v>
      </c>
      <c r="P497" s="29" t="s">
        <v>879</v>
      </c>
      <c r="Q497" s="23" t="s">
        <v>2570</v>
      </c>
      <c r="R497" s="23"/>
      <c r="S497" s="23" t="s">
        <v>2538</v>
      </c>
    </row>
    <row r="498" spans="1:19" ht="28.8" x14ac:dyDescent="0.3">
      <c r="A498" s="23" t="s">
        <v>2571</v>
      </c>
      <c r="B498" s="23" t="s">
        <v>627</v>
      </c>
      <c r="C498" s="23" t="s">
        <v>628</v>
      </c>
      <c r="D498" s="23" t="s">
        <v>2536</v>
      </c>
      <c r="E498" s="23" t="s">
        <v>632</v>
      </c>
      <c r="F498" s="23" t="s">
        <v>475</v>
      </c>
      <c r="G498" s="23" t="s">
        <v>477</v>
      </c>
      <c r="H498" s="23" t="s">
        <v>635</v>
      </c>
      <c r="I498" s="23" t="s">
        <v>482</v>
      </c>
      <c r="J498" s="23" t="s">
        <v>2224</v>
      </c>
      <c r="K498" s="23" t="s">
        <v>1822</v>
      </c>
      <c r="L498" s="23" t="s">
        <v>2227</v>
      </c>
      <c r="M498" s="23" t="s">
        <v>878</v>
      </c>
      <c r="N498" s="23" t="s">
        <v>111</v>
      </c>
      <c r="O498" s="23">
        <v>65000</v>
      </c>
      <c r="P498" s="29" t="s">
        <v>879</v>
      </c>
      <c r="Q498" s="23" t="s">
        <v>2572</v>
      </c>
      <c r="R498" s="23" t="s">
        <v>1584</v>
      </c>
      <c r="S498" s="23" t="s">
        <v>2544</v>
      </c>
    </row>
    <row r="499" spans="1:19" ht="28.8" x14ac:dyDescent="0.3">
      <c r="A499" s="23" t="s">
        <v>2573</v>
      </c>
      <c r="B499" s="23" t="s">
        <v>627</v>
      </c>
      <c r="C499" s="23" t="s">
        <v>628</v>
      </c>
      <c r="D499" s="23" t="s">
        <v>2536</v>
      </c>
      <c r="E499" s="23" t="s">
        <v>632</v>
      </c>
      <c r="F499" s="23" t="s">
        <v>475</v>
      </c>
      <c r="G499" s="23" t="s">
        <v>477</v>
      </c>
      <c r="H499" s="23" t="s">
        <v>635</v>
      </c>
      <c r="I499" s="23" t="s">
        <v>482</v>
      </c>
      <c r="J499" s="23" t="s">
        <v>2227</v>
      </c>
      <c r="K499" s="23" t="s">
        <v>1521</v>
      </c>
      <c r="L499" s="23" t="s">
        <v>1219</v>
      </c>
      <c r="M499" s="23" t="s">
        <v>138</v>
      </c>
      <c r="N499" s="23" t="s">
        <v>111</v>
      </c>
      <c r="O499" s="23">
        <v>55000</v>
      </c>
      <c r="P499" s="29" t="s">
        <v>879</v>
      </c>
      <c r="Q499" s="23" t="s">
        <v>2574</v>
      </c>
      <c r="R499" s="23"/>
      <c r="S499" s="23" t="s">
        <v>2538</v>
      </c>
    </row>
    <row r="500" spans="1:19" ht="28.8" x14ac:dyDescent="0.3">
      <c r="A500" s="23" t="s">
        <v>2575</v>
      </c>
      <c r="B500" s="23" t="s">
        <v>627</v>
      </c>
      <c r="C500" s="23" t="s">
        <v>628</v>
      </c>
      <c r="D500" s="23" t="s">
        <v>2536</v>
      </c>
      <c r="E500" s="23" t="s">
        <v>632</v>
      </c>
      <c r="F500" s="23" t="s">
        <v>475</v>
      </c>
      <c r="G500" s="23" t="s">
        <v>477</v>
      </c>
      <c r="H500" s="23" t="s">
        <v>635</v>
      </c>
      <c r="I500" s="23" t="s">
        <v>482</v>
      </c>
      <c r="J500" s="23" t="s">
        <v>1219</v>
      </c>
      <c r="K500" s="23" t="s">
        <v>2576</v>
      </c>
      <c r="L500" s="23" t="s">
        <v>2234</v>
      </c>
      <c r="M500" s="23" t="s">
        <v>878</v>
      </c>
      <c r="N500" s="23" t="s">
        <v>168</v>
      </c>
      <c r="O500" s="23">
        <v>40000</v>
      </c>
      <c r="P500" s="29" t="s">
        <v>879</v>
      </c>
      <c r="Q500" s="23" t="s">
        <v>2577</v>
      </c>
      <c r="R500" s="23"/>
      <c r="S500" s="23" t="s">
        <v>2538</v>
      </c>
    </row>
    <row r="501" spans="1:19" ht="28.8" x14ac:dyDescent="0.3">
      <c r="A501" s="23" t="s">
        <v>2578</v>
      </c>
      <c r="B501" s="23" t="s">
        <v>627</v>
      </c>
      <c r="C501" s="23" t="s">
        <v>628</v>
      </c>
      <c r="D501" s="23" t="s">
        <v>2536</v>
      </c>
      <c r="E501" s="23" t="s">
        <v>632</v>
      </c>
      <c r="F501" s="23" t="s">
        <v>475</v>
      </c>
      <c r="G501" s="23" t="s">
        <v>477</v>
      </c>
      <c r="H501" s="23" t="s">
        <v>635</v>
      </c>
      <c r="I501" s="23" t="s">
        <v>482</v>
      </c>
      <c r="J501" s="23" t="s">
        <v>2234</v>
      </c>
      <c r="K501" s="23" t="s">
        <v>1910</v>
      </c>
      <c r="L501" s="23" t="s">
        <v>2237</v>
      </c>
      <c r="M501" s="23" t="s">
        <v>878</v>
      </c>
      <c r="N501" s="23" t="s">
        <v>896</v>
      </c>
      <c r="O501" s="23">
        <v>40000</v>
      </c>
      <c r="P501" s="29" t="s">
        <v>879</v>
      </c>
      <c r="Q501" s="23" t="s">
        <v>2579</v>
      </c>
      <c r="R501" s="23"/>
      <c r="S501" s="23" t="s">
        <v>2541</v>
      </c>
    </row>
    <row r="502" spans="1:19" ht="28.8" x14ac:dyDescent="0.3">
      <c r="A502" s="23" t="s">
        <v>2580</v>
      </c>
      <c r="B502" s="23" t="s">
        <v>627</v>
      </c>
      <c r="C502" s="23" t="s">
        <v>628</v>
      </c>
      <c r="D502" s="23" t="s">
        <v>2536</v>
      </c>
      <c r="E502" s="23" t="s">
        <v>632</v>
      </c>
      <c r="F502" s="23" t="s">
        <v>475</v>
      </c>
      <c r="G502" s="23" t="s">
        <v>477</v>
      </c>
      <c r="H502" s="23" t="s">
        <v>635</v>
      </c>
      <c r="I502" s="23" t="s">
        <v>482</v>
      </c>
      <c r="J502" s="23" t="s">
        <v>2237</v>
      </c>
      <c r="K502" s="23" t="s">
        <v>2581</v>
      </c>
      <c r="L502" s="23" t="s">
        <v>1220</v>
      </c>
      <c r="M502" s="23" t="s">
        <v>138</v>
      </c>
      <c r="N502" s="23" t="s">
        <v>131</v>
      </c>
      <c r="O502" s="23">
        <v>65000</v>
      </c>
      <c r="P502" s="29" t="s">
        <v>879</v>
      </c>
      <c r="Q502" s="23" t="s">
        <v>2582</v>
      </c>
      <c r="R502" s="23"/>
      <c r="S502" s="23" t="s">
        <v>2538</v>
      </c>
    </row>
    <row r="503" spans="1:19" ht="28.8" x14ac:dyDescent="0.3">
      <c r="A503" s="23" t="s">
        <v>2583</v>
      </c>
      <c r="B503" s="23" t="s">
        <v>627</v>
      </c>
      <c r="C503" s="23" t="s">
        <v>628</v>
      </c>
      <c r="D503" s="23" t="s">
        <v>2536</v>
      </c>
      <c r="E503" s="23" t="s">
        <v>632</v>
      </c>
      <c r="F503" s="23" t="s">
        <v>475</v>
      </c>
      <c r="G503" s="23" t="s">
        <v>477</v>
      </c>
      <c r="H503" s="23" t="s">
        <v>635</v>
      </c>
      <c r="I503" s="23" t="s">
        <v>482</v>
      </c>
      <c r="J503" s="23" t="s">
        <v>1220</v>
      </c>
      <c r="K503" s="23" t="s">
        <v>358</v>
      </c>
      <c r="L503" s="23" t="s">
        <v>212</v>
      </c>
      <c r="M503" s="23" t="s">
        <v>878</v>
      </c>
      <c r="N503" s="23" t="s">
        <v>896</v>
      </c>
      <c r="O503" s="23">
        <v>40000</v>
      </c>
      <c r="P503" s="29" t="s">
        <v>879</v>
      </c>
      <c r="Q503" s="23" t="s">
        <v>2584</v>
      </c>
      <c r="R503" s="23"/>
      <c r="S503" s="23" t="s">
        <v>2541</v>
      </c>
    </row>
    <row r="504" spans="1:19" ht="28.8" x14ac:dyDescent="0.3">
      <c r="A504" s="23" t="s">
        <v>2585</v>
      </c>
      <c r="B504" s="23" t="s">
        <v>627</v>
      </c>
      <c r="C504" s="23" t="s">
        <v>628</v>
      </c>
      <c r="D504" s="23" t="s">
        <v>2536</v>
      </c>
      <c r="E504" s="23" t="s">
        <v>632</v>
      </c>
      <c r="F504" s="23" t="s">
        <v>475</v>
      </c>
      <c r="G504" s="23" t="s">
        <v>477</v>
      </c>
      <c r="H504" s="23" t="s">
        <v>635</v>
      </c>
      <c r="I504" s="23" t="s">
        <v>482</v>
      </c>
      <c r="J504" s="23" t="s">
        <v>212</v>
      </c>
      <c r="K504" s="23" t="s">
        <v>319</v>
      </c>
      <c r="L504" s="23" t="s">
        <v>2243</v>
      </c>
      <c r="M504" s="23" t="s">
        <v>138</v>
      </c>
      <c r="N504" s="23" t="s">
        <v>131</v>
      </c>
      <c r="O504" s="23">
        <v>40000</v>
      </c>
      <c r="P504" s="29" t="s">
        <v>879</v>
      </c>
      <c r="Q504" s="23" t="s">
        <v>2586</v>
      </c>
      <c r="R504" s="23"/>
      <c r="S504" s="23" t="s">
        <v>2544</v>
      </c>
    </row>
    <row r="505" spans="1:19" ht="28.8" x14ac:dyDescent="0.3">
      <c r="A505" s="23" t="s">
        <v>2587</v>
      </c>
      <c r="B505" s="23" t="s">
        <v>627</v>
      </c>
      <c r="C505" s="23" t="s">
        <v>628</v>
      </c>
      <c r="D505" s="23" t="s">
        <v>2536</v>
      </c>
      <c r="E505" s="23" t="s">
        <v>632</v>
      </c>
      <c r="F505" s="23" t="s">
        <v>475</v>
      </c>
      <c r="G505" s="23" t="s">
        <v>477</v>
      </c>
      <c r="H505" s="23" t="s">
        <v>635</v>
      </c>
      <c r="I505" s="23" t="s">
        <v>482</v>
      </c>
      <c r="J505" s="23" t="s">
        <v>2243</v>
      </c>
      <c r="K505" s="23" t="s">
        <v>196</v>
      </c>
      <c r="L505" s="23" t="s">
        <v>468</v>
      </c>
      <c r="M505" s="23" t="s">
        <v>878</v>
      </c>
      <c r="N505" s="23" t="s">
        <v>896</v>
      </c>
      <c r="O505" s="23">
        <v>65000</v>
      </c>
      <c r="P505" s="29" t="s">
        <v>879</v>
      </c>
      <c r="Q505" s="23" t="s">
        <v>2588</v>
      </c>
      <c r="R505" s="23"/>
      <c r="S505" s="23" t="s">
        <v>2541</v>
      </c>
    </row>
    <row r="506" spans="1:19" ht="28.8" x14ac:dyDescent="0.3">
      <c r="A506" s="23" t="s">
        <v>2589</v>
      </c>
      <c r="B506" s="23" t="s">
        <v>627</v>
      </c>
      <c r="C506" s="23" t="s">
        <v>628</v>
      </c>
      <c r="D506" s="23" t="s">
        <v>2536</v>
      </c>
      <c r="E506" s="23" t="s">
        <v>632</v>
      </c>
      <c r="F506" s="23" t="s">
        <v>475</v>
      </c>
      <c r="G506" s="23" t="s">
        <v>477</v>
      </c>
      <c r="H506" s="23" t="s">
        <v>635</v>
      </c>
      <c r="I506" s="23" t="s">
        <v>482</v>
      </c>
      <c r="J506" s="23" t="s">
        <v>468</v>
      </c>
      <c r="K506" s="23" t="s">
        <v>276</v>
      </c>
      <c r="L506" s="23" t="s">
        <v>544</v>
      </c>
      <c r="M506" s="23" t="s">
        <v>878</v>
      </c>
      <c r="N506" s="23" t="s">
        <v>131</v>
      </c>
      <c r="O506" s="23">
        <v>55000</v>
      </c>
      <c r="P506" s="29" t="s">
        <v>879</v>
      </c>
      <c r="Q506" s="23" t="s">
        <v>2590</v>
      </c>
      <c r="R506" s="23"/>
      <c r="S506" s="23" t="s">
        <v>2544</v>
      </c>
    </row>
    <row r="507" spans="1:19" ht="28.8" x14ac:dyDescent="0.3">
      <c r="A507" s="23" t="s">
        <v>2591</v>
      </c>
      <c r="B507" s="23" t="s">
        <v>627</v>
      </c>
      <c r="C507" s="23" t="s">
        <v>628</v>
      </c>
      <c r="D507" s="23" t="s">
        <v>2536</v>
      </c>
      <c r="E507" s="23" t="s">
        <v>632</v>
      </c>
      <c r="F507" s="23" t="s">
        <v>475</v>
      </c>
      <c r="G507" s="23" t="s">
        <v>477</v>
      </c>
      <c r="H507" s="23" t="s">
        <v>635</v>
      </c>
      <c r="I507" s="23" t="s">
        <v>482</v>
      </c>
      <c r="J507" s="23" t="s">
        <v>544</v>
      </c>
      <c r="K507" s="23"/>
      <c r="L507" s="23" t="s">
        <v>2250</v>
      </c>
      <c r="M507" s="23" t="s">
        <v>138</v>
      </c>
      <c r="N507" s="23" t="s">
        <v>929</v>
      </c>
      <c r="O507" s="23">
        <v>0</v>
      </c>
      <c r="P507" s="31" t="s">
        <v>1331</v>
      </c>
      <c r="Q507" s="23" t="s">
        <v>2592</v>
      </c>
      <c r="R507" s="23" t="s">
        <v>2252</v>
      </c>
      <c r="S507" s="23" t="s">
        <v>2593</v>
      </c>
    </row>
    <row r="508" spans="1:19" ht="28.8" x14ac:dyDescent="0.3">
      <c r="A508" s="23" t="s">
        <v>2594</v>
      </c>
      <c r="B508" s="23" t="s">
        <v>638</v>
      </c>
      <c r="C508" s="23" t="s">
        <v>639</v>
      </c>
      <c r="D508" s="23" t="s">
        <v>2595</v>
      </c>
      <c r="E508" s="23" t="s">
        <v>642</v>
      </c>
      <c r="F508" s="23" t="s">
        <v>503</v>
      </c>
      <c r="G508" s="23" t="s">
        <v>644</v>
      </c>
      <c r="H508" s="23" t="s">
        <v>648</v>
      </c>
      <c r="I508" s="23" t="s">
        <v>96</v>
      </c>
      <c r="J508" s="23" t="s">
        <v>2596</v>
      </c>
      <c r="K508" s="23" t="s">
        <v>1422</v>
      </c>
      <c r="L508" s="23" t="s">
        <v>2597</v>
      </c>
      <c r="M508" s="23" t="s">
        <v>878</v>
      </c>
      <c r="N508" s="23" t="s">
        <v>929</v>
      </c>
      <c r="O508" s="23">
        <v>35000</v>
      </c>
      <c r="P508" s="29" t="s">
        <v>879</v>
      </c>
      <c r="Q508" s="23" t="s">
        <v>2598</v>
      </c>
      <c r="R508" s="23"/>
      <c r="S508" s="23" t="s">
        <v>2599</v>
      </c>
    </row>
    <row r="509" spans="1:19" ht="28.8" x14ac:dyDescent="0.3">
      <c r="A509" s="23" t="s">
        <v>2600</v>
      </c>
      <c r="B509" s="23" t="s">
        <v>638</v>
      </c>
      <c r="C509" s="23" t="s">
        <v>639</v>
      </c>
      <c r="D509" s="23" t="s">
        <v>2595</v>
      </c>
      <c r="E509" s="23" t="s">
        <v>642</v>
      </c>
      <c r="F509" s="23" t="s">
        <v>503</v>
      </c>
      <c r="G509" s="23" t="s">
        <v>644</v>
      </c>
      <c r="H509" s="23" t="s">
        <v>648</v>
      </c>
      <c r="I509" s="23" t="s">
        <v>96</v>
      </c>
      <c r="J509" s="23" t="s">
        <v>2597</v>
      </c>
      <c r="K509" s="23" t="s">
        <v>2258</v>
      </c>
      <c r="L509" s="23" t="s">
        <v>372</v>
      </c>
      <c r="M509" s="23" t="s">
        <v>902</v>
      </c>
      <c r="N509" s="23" t="s">
        <v>896</v>
      </c>
      <c r="O509" s="23">
        <v>25000</v>
      </c>
      <c r="P509" s="29" t="s">
        <v>879</v>
      </c>
      <c r="Q509" s="23" t="s">
        <v>2601</v>
      </c>
      <c r="R509" s="23"/>
      <c r="S509" s="23" t="s">
        <v>2602</v>
      </c>
    </row>
    <row r="510" spans="1:19" ht="28.8" x14ac:dyDescent="0.3">
      <c r="A510" s="23" t="s">
        <v>2603</v>
      </c>
      <c r="B510" s="23" t="s">
        <v>638</v>
      </c>
      <c r="C510" s="23" t="s">
        <v>639</v>
      </c>
      <c r="D510" s="23" t="s">
        <v>2595</v>
      </c>
      <c r="E510" s="23" t="s">
        <v>642</v>
      </c>
      <c r="F510" s="23" t="s">
        <v>503</v>
      </c>
      <c r="G510" s="23" t="s">
        <v>644</v>
      </c>
      <c r="H510" s="23" t="s">
        <v>648</v>
      </c>
      <c r="I510" s="23" t="s">
        <v>96</v>
      </c>
      <c r="J510" s="23" t="s">
        <v>372</v>
      </c>
      <c r="K510" s="23" t="s">
        <v>2262</v>
      </c>
      <c r="L510" s="23" t="s">
        <v>2604</v>
      </c>
      <c r="M510" s="23" t="s">
        <v>878</v>
      </c>
      <c r="N510" s="23" t="s">
        <v>111</v>
      </c>
      <c r="O510" s="23">
        <v>20000</v>
      </c>
      <c r="P510" s="29" t="s">
        <v>879</v>
      </c>
      <c r="Q510" s="23" t="s">
        <v>2605</v>
      </c>
      <c r="R510" s="23"/>
      <c r="S510" s="23" t="s">
        <v>2599</v>
      </c>
    </row>
    <row r="511" spans="1:19" ht="28.8" x14ac:dyDescent="0.3">
      <c r="A511" s="23" t="s">
        <v>2606</v>
      </c>
      <c r="B511" s="23" t="s">
        <v>638</v>
      </c>
      <c r="C511" s="23" t="s">
        <v>639</v>
      </c>
      <c r="D511" s="23" t="s">
        <v>2595</v>
      </c>
      <c r="E511" s="23" t="s">
        <v>642</v>
      </c>
      <c r="F511" s="23" t="s">
        <v>503</v>
      </c>
      <c r="G511" s="23" t="s">
        <v>644</v>
      </c>
      <c r="H511" s="23" t="s">
        <v>648</v>
      </c>
      <c r="I511" s="23" t="s">
        <v>96</v>
      </c>
      <c r="J511" s="23" t="s">
        <v>2604</v>
      </c>
      <c r="K511" s="23" t="s">
        <v>1431</v>
      </c>
      <c r="L511" s="23" t="s">
        <v>2607</v>
      </c>
      <c r="M511" s="23" t="s">
        <v>902</v>
      </c>
      <c r="N511" s="23" t="s">
        <v>111</v>
      </c>
      <c r="O511" s="23">
        <v>25000</v>
      </c>
      <c r="P511" s="29" t="s">
        <v>879</v>
      </c>
      <c r="Q511" s="23" t="s">
        <v>2608</v>
      </c>
      <c r="R511" s="23"/>
      <c r="S511" s="23" t="s">
        <v>2602</v>
      </c>
    </row>
    <row r="512" spans="1:19" ht="28.8" x14ac:dyDescent="0.3">
      <c r="A512" s="23" t="s">
        <v>2609</v>
      </c>
      <c r="B512" s="23" t="s">
        <v>638</v>
      </c>
      <c r="C512" s="23" t="s">
        <v>639</v>
      </c>
      <c r="D512" s="23" t="s">
        <v>2595</v>
      </c>
      <c r="E512" s="23" t="s">
        <v>642</v>
      </c>
      <c r="F512" s="23" t="s">
        <v>503</v>
      </c>
      <c r="G512" s="23" t="s">
        <v>644</v>
      </c>
      <c r="H512" s="23" t="s">
        <v>648</v>
      </c>
      <c r="I512" s="23" t="s">
        <v>96</v>
      </c>
      <c r="J512" s="23" t="s">
        <v>2607</v>
      </c>
      <c r="K512" s="23" t="s">
        <v>2266</v>
      </c>
      <c r="L512" s="23" t="s">
        <v>2610</v>
      </c>
      <c r="M512" s="23" t="s">
        <v>878</v>
      </c>
      <c r="N512" s="23" t="s">
        <v>111</v>
      </c>
      <c r="O512" s="23">
        <v>20000</v>
      </c>
      <c r="P512" s="29" t="s">
        <v>879</v>
      </c>
      <c r="Q512" s="23" t="s">
        <v>2611</v>
      </c>
      <c r="R512" s="23"/>
      <c r="S512" s="23" t="s">
        <v>2602</v>
      </c>
    </row>
    <row r="513" spans="1:19" ht="28.8" x14ac:dyDescent="0.3">
      <c r="A513" s="23" t="s">
        <v>2612</v>
      </c>
      <c r="B513" s="23" t="s">
        <v>638</v>
      </c>
      <c r="C513" s="23" t="s">
        <v>639</v>
      </c>
      <c r="D513" s="23" t="s">
        <v>2595</v>
      </c>
      <c r="E513" s="23" t="s">
        <v>642</v>
      </c>
      <c r="F513" s="23" t="s">
        <v>503</v>
      </c>
      <c r="G513" s="23" t="s">
        <v>644</v>
      </c>
      <c r="H513" s="23" t="s">
        <v>648</v>
      </c>
      <c r="I513" s="23" t="s">
        <v>96</v>
      </c>
      <c r="J513" s="23" t="s">
        <v>2610</v>
      </c>
      <c r="K513" s="23" t="s">
        <v>2270</v>
      </c>
      <c r="L513" s="23" t="s">
        <v>2613</v>
      </c>
      <c r="M513" s="23" t="s">
        <v>902</v>
      </c>
      <c r="N513" s="23" t="s">
        <v>896</v>
      </c>
      <c r="O513" s="23">
        <v>35000</v>
      </c>
      <c r="P513" s="29" t="s">
        <v>879</v>
      </c>
      <c r="Q513" s="23" t="s">
        <v>2614</v>
      </c>
      <c r="R513" s="23"/>
      <c r="S513" s="23" t="s">
        <v>2599</v>
      </c>
    </row>
    <row r="514" spans="1:19" ht="28.8" x14ac:dyDescent="0.3">
      <c r="A514" s="23" t="s">
        <v>2615</v>
      </c>
      <c r="B514" s="23" t="s">
        <v>638</v>
      </c>
      <c r="C514" s="23" t="s">
        <v>639</v>
      </c>
      <c r="D514" s="23" t="s">
        <v>2595</v>
      </c>
      <c r="E514" s="23" t="s">
        <v>642</v>
      </c>
      <c r="F514" s="23" t="s">
        <v>503</v>
      </c>
      <c r="G514" s="23" t="s">
        <v>644</v>
      </c>
      <c r="H514" s="23" t="s">
        <v>648</v>
      </c>
      <c r="I514" s="23" t="s">
        <v>96</v>
      </c>
      <c r="J514" s="23" t="s">
        <v>2613</v>
      </c>
      <c r="K514" s="23" t="s">
        <v>1271</v>
      </c>
      <c r="L514" s="23" t="s">
        <v>2616</v>
      </c>
      <c r="M514" s="23" t="s">
        <v>878</v>
      </c>
      <c r="N514" s="23" t="s">
        <v>896</v>
      </c>
      <c r="O514" s="23">
        <v>35000</v>
      </c>
      <c r="P514" s="29" t="s">
        <v>879</v>
      </c>
      <c r="Q514" s="23" t="s">
        <v>2617</v>
      </c>
      <c r="R514" s="23"/>
      <c r="S514" s="23" t="s">
        <v>2602</v>
      </c>
    </row>
    <row r="515" spans="1:19" ht="28.8" x14ac:dyDescent="0.3">
      <c r="A515" s="23" t="s">
        <v>2618</v>
      </c>
      <c r="B515" s="23" t="s">
        <v>638</v>
      </c>
      <c r="C515" s="23" t="s">
        <v>639</v>
      </c>
      <c r="D515" s="23" t="s">
        <v>2595</v>
      </c>
      <c r="E515" s="23" t="s">
        <v>642</v>
      </c>
      <c r="F515" s="23" t="s">
        <v>503</v>
      </c>
      <c r="G515" s="23" t="s">
        <v>644</v>
      </c>
      <c r="H515" s="23" t="s">
        <v>648</v>
      </c>
      <c r="I515" s="23" t="s">
        <v>96</v>
      </c>
      <c r="J515" s="23" t="s">
        <v>2619</v>
      </c>
      <c r="K515" s="23" t="s">
        <v>1520</v>
      </c>
      <c r="L515" s="23" t="s">
        <v>1283</v>
      </c>
      <c r="M515" s="23" t="s">
        <v>902</v>
      </c>
      <c r="N515" s="23" t="s">
        <v>929</v>
      </c>
      <c r="O515" s="23">
        <v>20000</v>
      </c>
      <c r="P515" s="29" t="s">
        <v>879</v>
      </c>
      <c r="Q515" s="23" t="s">
        <v>2620</v>
      </c>
      <c r="R515" s="23"/>
      <c r="S515" s="23" t="s">
        <v>2602</v>
      </c>
    </row>
    <row r="516" spans="1:19" ht="28.8" x14ac:dyDescent="0.3">
      <c r="A516" s="23" t="s">
        <v>2621</v>
      </c>
      <c r="B516" s="23" t="s">
        <v>638</v>
      </c>
      <c r="C516" s="23" t="s">
        <v>639</v>
      </c>
      <c r="D516" s="23" t="s">
        <v>2595</v>
      </c>
      <c r="E516" s="23" t="s">
        <v>642</v>
      </c>
      <c r="F516" s="23" t="s">
        <v>503</v>
      </c>
      <c r="G516" s="23" t="s">
        <v>644</v>
      </c>
      <c r="H516" s="23" t="s">
        <v>648</v>
      </c>
      <c r="I516" s="23" t="s">
        <v>96</v>
      </c>
      <c r="J516" s="23" t="s">
        <v>1283</v>
      </c>
      <c r="K516" s="23" t="s">
        <v>2285</v>
      </c>
      <c r="L516" s="23" t="s">
        <v>1455</v>
      </c>
      <c r="M516" s="23" t="s">
        <v>878</v>
      </c>
      <c r="N516" s="23" t="s">
        <v>168</v>
      </c>
      <c r="O516" s="23">
        <v>35000</v>
      </c>
      <c r="P516" s="29" t="s">
        <v>879</v>
      </c>
      <c r="Q516" s="23" t="s">
        <v>2622</v>
      </c>
      <c r="R516" s="23"/>
      <c r="S516" s="23" t="s">
        <v>2599</v>
      </c>
    </row>
    <row r="517" spans="1:19" ht="28.8" x14ac:dyDescent="0.3">
      <c r="A517" s="23" t="s">
        <v>2623</v>
      </c>
      <c r="B517" s="23" t="s">
        <v>638</v>
      </c>
      <c r="C517" s="23" t="s">
        <v>639</v>
      </c>
      <c r="D517" s="23" t="s">
        <v>2595</v>
      </c>
      <c r="E517" s="23" t="s">
        <v>642</v>
      </c>
      <c r="F517" s="23" t="s">
        <v>503</v>
      </c>
      <c r="G517" s="23" t="s">
        <v>644</v>
      </c>
      <c r="H517" s="23" t="s">
        <v>648</v>
      </c>
      <c r="I517" s="23" t="s">
        <v>96</v>
      </c>
      <c r="J517" s="23" t="s">
        <v>534</v>
      </c>
      <c r="K517" s="23" t="s">
        <v>647</v>
      </c>
      <c r="L517" s="23" t="s">
        <v>163</v>
      </c>
      <c r="M517" s="23" t="s">
        <v>902</v>
      </c>
      <c r="N517" s="23" t="s">
        <v>131</v>
      </c>
      <c r="O517" s="23">
        <v>35000</v>
      </c>
      <c r="P517" s="29" t="s">
        <v>879</v>
      </c>
      <c r="Q517" s="23" t="s">
        <v>2624</v>
      </c>
      <c r="R517" s="23" t="s">
        <v>1063</v>
      </c>
      <c r="S517" s="23" t="s">
        <v>2602</v>
      </c>
    </row>
    <row r="518" spans="1:19" ht="28.8" x14ac:dyDescent="0.3">
      <c r="A518" s="23" t="s">
        <v>2625</v>
      </c>
      <c r="B518" s="23" t="s">
        <v>638</v>
      </c>
      <c r="C518" s="23" t="s">
        <v>639</v>
      </c>
      <c r="D518" s="23" t="s">
        <v>2595</v>
      </c>
      <c r="E518" s="23" t="s">
        <v>642</v>
      </c>
      <c r="F518" s="23" t="s">
        <v>503</v>
      </c>
      <c r="G518" s="23" t="s">
        <v>644</v>
      </c>
      <c r="H518" s="23" t="s">
        <v>648</v>
      </c>
      <c r="I518" s="23" t="s">
        <v>96</v>
      </c>
      <c r="J518" s="23" t="s">
        <v>163</v>
      </c>
      <c r="K518" s="23"/>
      <c r="L518" s="23" t="s">
        <v>2626</v>
      </c>
      <c r="M518" s="23" t="s">
        <v>878</v>
      </c>
      <c r="N518" s="23" t="s">
        <v>111</v>
      </c>
      <c r="O518" s="23">
        <v>0</v>
      </c>
      <c r="P518" s="30" t="s">
        <v>948</v>
      </c>
      <c r="Q518" s="23" t="s">
        <v>2627</v>
      </c>
      <c r="R518" s="23"/>
      <c r="S518" s="23" t="s">
        <v>1396</v>
      </c>
    </row>
    <row r="519" spans="1:19" ht="28.8" x14ac:dyDescent="0.3">
      <c r="A519" s="23" t="s">
        <v>2628</v>
      </c>
      <c r="B519" s="23" t="s">
        <v>649</v>
      </c>
      <c r="C519" s="23" t="s">
        <v>639</v>
      </c>
      <c r="D519" s="23" t="s">
        <v>2629</v>
      </c>
      <c r="E519" s="23" t="s">
        <v>652</v>
      </c>
      <c r="F519" s="23" t="s">
        <v>503</v>
      </c>
      <c r="G519" s="23" t="s">
        <v>644</v>
      </c>
      <c r="H519" s="23" t="s">
        <v>648</v>
      </c>
      <c r="I519" s="23" t="s">
        <v>96</v>
      </c>
      <c r="J519" s="23" t="s">
        <v>2630</v>
      </c>
      <c r="K519" s="23" t="s">
        <v>2631</v>
      </c>
      <c r="L519" s="23" t="s">
        <v>564</v>
      </c>
      <c r="M519" s="23" t="s">
        <v>902</v>
      </c>
      <c r="N519" s="23" t="s">
        <v>929</v>
      </c>
      <c r="O519" s="23">
        <v>20000</v>
      </c>
      <c r="P519" s="29" t="s">
        <v>879</v>
      </c>
      <c r="Q519" s="23" t="s">
        <v>2632</v>
      </c>
      <c r="R519" s="23"/>
      <c r="S519" s="23" t="s">
        <v>2599</v>
      </c>
    </row>
    <row r="520" spans="1:19" ht="28.8" x14ac:dyDescent="0.3">
      <c r="A520" s="23" t="s">
        <v>2633</v>
      </c>
      <c r="B520" s="23" t="s">
        <v>649</v>
      </c>
      <c r="C520" s="23" t="s">
        <v>639</v>
      </c>
      <c r="D520" s="23" t="s">
        <v>2629</v>
      </c>
      <c r="E520" s="23" t="s">
        <v>652</v>
      </c>
      <c r="F520" s="23" t="s">
        <v>503</v>
      </c>
      <c r="G520" s="23" t="s">
        <v>644</v>
      </c>
      <c r="H520" s="23" t="s">
        <v>648</v>
      </c>
      <c r="I520" s="23" t="s">
        <v>96</v>
      </c>
      <c r="J520" s="23" t="s">
        <v>564</v>
      </c>
      <c r="K520" s="23" t="s">
        <v>1581</v>
      </c>
      <c r="L520" s="23" t="s">
        <v>2634</v>
      </c>
      <c r="M520" s="23" t="s">
        <v>878</v>
      </c>
      <c r="N520" s="23" t="s">
        <v>219</v>
      </c>
      <c r="O520" s="23">
        <v>25000</v>
      </c>
      <c r="P520" s="29" t="s">
        <v>879</v>
      </c>
      <c r="Q520" s="23" t="s">
        <v>2635</v>
      </c>
      <c r="R520" s="23"/>
      <c r="S520" s="23" t="s">
        <v>2599</v>
      </c>
    </row>
    <row r="521" spans="1:19" ht="28.8" x14ac:dyDescent="0.3">
      <c r="A521" s="23" t="s">
        <v>2636</v>
      </c>
      <c r="B521" s="23" t="s">
        <v>649</v>
      </c>
      <c r="C521" s="23" t="s">
        <v>639</v>
      </c>
      <c r="D521" s="23" t="s">
        <v>2629</v>
      </c>
      <c r="E521" s="23" t="s">
        <v>652</v>
      </c>
      <c r="F521" s="23" t="s">
        <v>503</v>
      </c>
      <c r="G521" s="23" t="s">
        <v>644</v>
      </c>
      <c r="H521" s="23" t="s">
        <v>648</v>
      </c>
      <c r="I521" s="23" t="s">
        <v>96</v>
      </c>
      <c r="J521" s="23" t="s">
        <v>2634</v>
      </c>
      <c r="K521" s="23" t="s">
        <v>2637</v>
      </c>
      <c r="L521" s="23" t="s">
        <v>2638</v>
      </c>
      <c r="M521" s="23" t="s">
        <v>902</v>
      </c>
      <c r="N521" s="23" t="s">
        <v>131</v>
      </c>
      <c r="O521" s="23">
        <v>35000</v>
      </c>
      <c r="P521" s="29" t="s">
        <v>879</v>
      </c>
      <c r="Q521" s="23" t="s">
        <v>2639</v>
      </c>
      <c r="R521" s="23"/>
      <c r="S521" s="23" t="s">
        <v>2599</v>
      </c>
    </row>
    <row r="522" spans="1:19" ht="28.8" x14ac:dyDescent="0.3">
      <c r="A522" s="23" t="s">
        <v>2640</v>
      </c>
      <c r="B522" s="23" t="s">
        <v>649</v>
      </c>
      <c r="C522" s="23" t="s">
        <v>639</v>
      </c>
      <c r="D522" s="23" t="s">
        <v>2629</v>
      </c>
      <c r="E522" s="23" t="s">
        <v>652</v>
      </c>
      <c r="F522" s="23" t="s">
        <v>503</v>
      </c>
      <c r="G522" s="23" t="s">
        <v>644</v>
      </c>
      <c r="H522" s="23" t="s">
        <v>648</v>
      </c>
      <c r="I522" s="23" t="s">
        <v>96</v>
      </c>
      <c r="J522" s="23" t="s">
        <v>2638</v>
      </c>
      <c r="K522" s="23" t="s">
        <v>2638</v>
      </c>
      <c r="L522" s="23" t="s">
        <v>2641</v>
      </c>
      <c r="M522" s="23" t="s">
        <v>878</v>
      </c>
      <c r="N522" s="23" t="s">
        <v>168</v>
      </c>
      <c r="O522" s="23">
        <v>20000</v>
      </c>
      <c r="P522" s="29" t="s">
        <v>879</v>
      </c>
      <c r="Q522" s="23" t="s">
        <v>2642</v>
      </c>
      <c r="R522" s="23"/>
      <c r="S522" s="23" t="s">
        <v>2602</v>
      </c>
    </row>
    <row r="523" spans="1:19" ht="28.8" x14ac:dyDescent="0.3">
      <c r="A523" s="23" t="s">
        <v>2643</v>
      </c>
      <c r="B523" s="23" t="s">
        <v>649</v>
      </c>
      <c r="C523" s="23" t="s">
        <v>639</v>
      </c>
      <c r="D523" s="23" t="s">
        <v>2629</v>
      </c>
      <c r="E523" s="23" t="s">
        <v>652</v>
      </c>
      <c r="F523" s="23" t="s">
        <v>503</v>
      </c>
      <c r="G523" s="23" t="s">
        <v>644</v>
      </c>
      <c r="H523" s="23" t="s">
        <v>648</v>
      </c>
      <c r="I523" s="23" t="s">
        <v>96</v>
      </c>
      <c r="J523" s="23" t="s">
        <v>2644</v>
      </c>
      <c r="K523" s="23" t="s">
        <v>2645</v>
      </c>
      <c r="L523" s="23" t="s">
        <v>2646</v>
      </c>
      <c r="M523" s="23" t="s">
        <v>878</v>
      </c>
      <c r="N523" s="23" t="s">
        <v>929</v>
      </c>
      <c r="O523" s="23">
        <v>35000</v>
      </c>
      <c r="P523" s="29" t="s">
        <v>879</v>
      </c>
      <c r="Q523" s="23" t="s">
        <v>2647</v>
      </c>
      <c r="R523" s="23"/>
      <c r="S523" s="23" t="s">
        <v>2602</v>
      </c>
    </row>
    <row r="524" spans="1:19" ht="28.8" x14ac:dyDescent="0.3">
      <c r="A524" s="23" t="s">
        <v>2648</v>
      </c>
      <c r="B524" s="23" t="s">
        <v>649</v>
      </c>
      <c r="C524" s="23" t="s">
        <v>639</v>
      </c>
      <c r="D524" s="23" t="s">
        <v>2629</v>
      </c>
      <c r="E524" s="23" t="s">
        <v>652</v>
      </c>
      <c r="F524" s="23" t="s">
        <v>503</v>
      </c>
      <c r="G524" s="23" t="s">
        <v>644</v>
      </c>
      <c r="H524" s="23" t="s">
        <v>648</v>
      </c>
      <c r="I524" s="23" t="s">
        <v>96</v>
      </c>
      <c r="J524" s="23" t="s">
        <v>2646</v>
      </c>
      <c r="K524" s="23" t="s">
        <v>256</v>
      </c>
      <c r="L524" s="23" t="s">
        <v>2649</v>
      </c>
      <c r="M524" s="23" t="s">
        <v>902</v>
      </c>
      <c r="N524" s="23" t="s">
        <v>131</v>
      </c>
      <c r="O524" s="23">
        <v>20000</v>
      </c>
      <c r="P524" s="29" t="s">
        <v>879</v>
      </c>
      <c r="Q524" s="23" t="s">
        <v>2650</v>
      </c>
      <c r="R524" s="23"/>
      <c r="S524" s="23" t="s">
        <v>2599</v>
      </c>
    </row>
    <row r="525" spans="1:19" ht="28.8" x14ac:dyDescent="0.3">
      <c r="A525" s="23" t="s">
        <v>2651</v>
      </c>
      <c r="B525" s="23" t="s">
        <v>649</v>
      </c>
      <c r="C525" s="23" t="s">
        <v>639</v>
      </c>
      <c r="D525" s="23" t="s">
        <v>2629</v>
      </c>
      <c r="E525" s="23" t="s">
        <v>652</v>
      </c>
      <c r="F525" s="23" t="s">
        <v>503</v>
      </c>
      <c r="G525" s="23" t="s">
        <v>644</v>
      </c>
      <c r="H525" s="23" t="s">
        <v>648</v>
      </c>
      <c r="I525" s="23" t="s">
        <v>96</v>
      </c>
      <c r="J525" s="23" t="s">
        <v>2649</v>
      </c>
      <c r="K525" s="23" t="s">
        <v>1322</v>
      </c>
      <c r="L525" s="23" t="s">
        <v>2652</v>
      </c>
      <c r="M525" s="23" t="s">
        <v>902</v>
      </c>
      <c r="N525" s="23" t="s">
        <v>219</v>
      </c>
      <c r="O525" s="23">
        <v>35000</v>
      </c>
      <c r="P525" s="29" t="s">
        <v>879</v>
      </c>
      <c r="Q525" s="23" t="s">
        <v>2653</v>
      </c>
      <c r="R525" s="23"/>
      <c r="S525" s="23" t="s">
        <v>2602</v>
      </c>
    </row>
    <row r="526" spans="1:19" ht="28.8" x14ac:dyDescent="0.3">
      <c r="A526" s="23" t="s">
        <v>2654</v>
      </c>
      <c r="B526" s="23" t="s">
        <v>649</v>
      </c>
      <c r="C526" s="23" t="s">
        <v>639</v>
      </c>
      <c r="D526" s="23" t="s">
        <v>2629</v>
      </c>
      <c r="E526" s="23" t="s">
        <v>652</v>
      </c>
      <c r="F526" s="23" t="s">
        <v>503</v>
      </c>
      <c r="G526" s="23" t="s">
        <v>644</v>
      </c>
      <c r="H526" s="23" t="s">
        <v>648</v>
      </c>
      <c r="I526" s="23" t="s">
        <v>96</v>
      </c>
      <c r="J526" s="23" t="s">
        <v>2652</v>
      </c>
      <c r="K526" s="23" t="s">
        <v>656</v>
      </c>
      <c r="L526" s="23" t="s">
        <v>657</v>
      </c>
      <c r="M526" s="23" t="s">
        <v>902</v>
      </c>
      <c r="N526" s="23" t="s">
        <v>896</v>
      </c>
      <c r="O526" s="23">
        <v>25000</v>
      </c>
      <c r="P526" s="29" t="s">
        <v>879</v>
      </c>
      <c r="Q526" s="23" t="s">
        <v>2655</v>
      </c>
      <c r="R526" s="23"/>
      <c r="S526" s="23" t="s">
        <v>2599</v>
      </c>
    </row>
    <row r="527" spans="1:19" ht="28.8" x14ac:dyDescent="0.3">
      <c r="A527" s="23" t="s">
        <v>2656</v>
      </c>
      <c r="B527" s="23" t="s">
        <v>649</v>
      </c>
      <c r="C527" s="23" t="s">
        <v>639</v>
      </c>
      <c r="D527" s="23" t="s">
        <v>2629</v>
      </c>
      <c r="E527" s="23" t="s">
        <v>652</v>
      </c>
      <c r="F527" s="23" t="s">
        <v>503</v>
      </c>
      <c r="G527" s="23" t="s">
        <v>644</v>
      </c>
      <c r="H527" s="23" t="s">
        <v>648</v>
      </c>
      <c r="I527" s="23" t="s">
        <v>96</v>
      </c>
      <c r="J527" s="23" t="s">
        <v>657</v>
      </c>
      <c r="K527" s="23"/>
      <c r="L527" s="23" t="s">
        <v>2657</v>
      </c>
      <c r="M527" s="23" t="s">
        <v>902</v>
      </c>
      <c r="N527" s="23" t="s">
        <v>929</v>
      </c>
      <c r="O527" s="23">
        <v>0</v>
      </c>
      <c r="P527" s="30" t="s">
        <v>948</v>
      </c>
      <c r="Q527" s="23" t="s">
        <v>2658</v>
      </c>
      <c r="R527" s="23"/>
      <c r="S527" s="23" t="s">
        <v>950</v>
      </c>
    </row>
    <row r="528" spans="1:19" ht="28.8" x14ac:dyDescent="0.3">
      <c r="A528" s="23" t="s">
        <v>2659</v>
      </c>
      <c r="B528" s="23" t="s">
        <v>649</v>
      </c>
      <c r="C528" s="23" t="s">
        <v>639</v>
      </c>
      <c r="D528" s="23" t="s">
        <v>2629</v>
      </c>
      <c r="E528" s="23" t="s">
        <v>652</v>
      </c>
      <c r="F528" s="23" t="s">
        <v>503</v>
      </c>
      <c r="G528" s="23" t="s">
        <v>644</v>
      </c>
      <c r="H528" s="23" t="s">
        <v>648</v>
      </c>
      <c r="I528" s="23" t="s">
        <v>96</v>
      </c>
      <c r="J528" s="23" t="s">
        <v>2657</v>
      </c>
      <c r="K528" s="23"/>
      <c r="L528" s="23" t="s">
        <v>2660</v>
      </c>
      <c r="M528" s="23" t="s">
        <v>902</v>
      </c>
      <c r="N528" s="23" t="s">
        <v>168</v>
      </c>
      <c r="O528" s="23">
        <v>0</v>
      </c>
      <c r="P528" s="30" t="s">
        <v>948</v>
      </c>
      <c r="Q528" s="23" t="s">
        <v>2661</v>
      </c>
      <c r="R528" s="23"/>
      <c r="S528" s="23" t="s">
        <v>1066</v>
      </c>
    </row>
    <row r="529" spans="1:19" ht="28.8" x14ac:dyDescent="0.3">
      <c r="A529" s="23" t="s">
        <v>2662</v>
      </c>
      <c r="B529" s="23" t="s">
        <v>658</v>
      </c>
      <c r="C529" s="23" t="s">
        <v>659</v>
      </c>
      <c r="D529" s="23" t="s">
        <v>2663</v>
      </c>
      <c r="E529" s="23" t="s">
        <v>662</v>
      </c>
      <c r="F529" s="23" t="s">
        <v>503</v>
      </c>
      <c r="G529" s="23" t="s">
        <v>175</v>
      </c>
      <c r="H529" s="23" t="s">
        <v>667</v>
      </c>
      <c r="I529" s="23" t="s">
        <v>96</v>
      </c>
      <c r="J529" s="23" t="s">
        <v>2664</v>
      </c>
      <c r="K529" s="23" t="s">
        <v>2665</v>
      </c>
      <c r="L529" s="23" t="s">
        <v>1051</v>
      </c>
      <c r="M529" s="23" t="s">
        <v>902</v>
      </c>
      <c r="N529" s="23" t="s">
        <v>219</v>
      </c>
      <c r="O529" s="23">
        <v>20000</v>
      </c>
      <c r="P529" s="29" t="s">
        <v>879</v>
      </c>
      <c r="Q529" s="23" t="s">
        <v>2666</v>
      </c>
      <c r="R529" s="23"/>
      <c r="S529" s="23" t="s">
        <v>2667</v>
      </c>
    </row>
    <row r="530" spans="1:19" ht="28.8" x14ac:dyDescent="0.3">
      <c r="A530" s="23" t="s">
        <v>2668</v>
      </c>
      <c r="B530" s="23" t="s">
        <v>658</v>
      </c>
      <c r="C530" s="23" t="s">
        <v>659</v>
      </c>
      <c r="D530" s="23" t="s">
        <v>2663</v>
      </c>
      <c r="E530" s="23" t="s">
        <v>662</v>
      </c>
      <c r="F530" s="23" t="s">
        <v>503</v>
      </c>
      <c r="G530" s="23" t="s">
        <v>175</v>
      </c>
      <c r="H530" s="23" t="s">
        <v>667</v>
      </c>
      <c r="I530" s="23" t="s">
        <v>96</v>
      </c>
      <c r="J530" s="23" t="s">
        <v>1051</v>
      </c>
      <c r="K530" s="23" t="s">
        <v>1557</v>
      </c>
      <c r="L530" s="23" t="s">
        <v>2669</v>
      </c>
      <c r="M530" s="23" t="s">
        <v>878</v>
      </c>
      <c r="N530" s="23" t="s">
        <v>168</v>
      </c>
      <c r="O530" s="23">
        <v>10000</v>
      </c>
      <c r="P530" s="29" t="s">
        <v>879</v>
      </c>
      <c r="Q530" s="23" t="s">
        <v>2670</v>
      </c>
      <c r="R530" s="23"/>
      <c r="S530" s="23" t="s">
        <v>2667</v>
      </c>
    </row>
    <row r="531" spans="1:19" ht="28.8" x14ac:dyDescent="0.3">
      <c r="A531" s="23" t="s">
        <v>2671</v>
      </c>
      <c r="B531" s="23" t="s">
        <v>658</v>
      </c>
      <c r="C531" s="23" t="s">
        <v>659</v>
      </c>
      <c r="D531" s="23" t="s">
        <v>2663</v>
      </c>
      <c r="E531" s="23" t="s">
        <v>662</v>
      </c>
      <c r="F531" s="23" t="s">
        <v>503</v>
      </c>
      <c r="G531" s="23" t="s">
        <v>175</v>
      </c>
      <c r="H531" s="23" t="s">
        <v>667</v>
      </c>
      <c r="I531" s="23" t="s">
        <v>96</v>
      </c>
      <c r="J531" s="23" t="s">
        <v>1567</v>
      </c>
      <c r="K531" s="23" t="s">
        <v>1623</v>
      </c>
      <c r="L531" s="23" t="s">
        <v>2311</v>
      </c>
      <c r="M531" s="23" t="s">
        <v>902</v>
      </c>
      <c r="N531" s="23" t="s">
        <v>131</v>
      </c>
      <c r="O531" s="23">
        <v>20000</v>
      </c>
      <c r="P531" s="29" t="s">
        <v>879</v>
      </c>
      <c r="Q531" s="23" t="s">
        <v>2672</v>
      </c>
      <c r="R531" s="23" t="s">
        <v>938</v>
      </c>
      <c r="S531" s="23" t="s">
        <v>2673</v>
      </c>
    </row>
    <row r="532" spans="1:19" ht="28.8" x14ac:dyDescent="0.3">
      <c r="A532" s="23" t="s">
        <v>2674</v>
      </c>
      <c r="B532" s="23" t="s">
        <v>658</v>
      </c>
      <c r="C532" s="23" t="s">
        <v>659</v>
      </c>
      <c r="D532" s="23" t="s">
        <v>2663</v>
      </c>
      <c r="E532" s="23" t="s">
        <v>662</v>
      </c>
      <c r="F532" s="23" t="s">
        <v>503</v>
      </c>
      <c r="G532" s="23" t="s">
        <v>175</v>
      </c>
      <c r="H532" s="23" t="s">
        <v>667</v>
      </c>
      <c r="I532" s="23" t="s">
        <v>96</v>
      </c>
      <c r="J532" s="23" t="s">
        <v>2311</v>
      </c>
      <c r="K532" s="23" t="s">
        <v>1787</v>
      </c>
      <c r="L532" s="23" t="s">
        <v>2675</v>
      </c>
      <c r="M532" s="23" t="s">
        <v>878</v>
      </c>
      <c r="N532" s="23" t="s">
        <v>111</v>
      </c>
      <c r="O532" s="23">
        <v>20000</v>
      </c>
      <c r="P532" s="29" t="s">
        <v>879</v>
      </c>
      <c r="Q532" s="23" t="s">
        <v>2676</v>
      </c>
      <c r="R532" s="23"/>
      <c r="S532" s="23" t="s">
        <v>2673</v>
      </c>
    </row>
    <row r="533" spans="1:19" ht="28.8" x14ac:dyDescent="0.3">
      <c r="A533" s="23" t="s">
        <v>2677</v>
      </c>
      <c r="B533" s="23" t="s">
        <v>658</v>
      </c>
      <c r="C533" s="23" t="s">
        <v>659</v>
      </c>
      <c r="D533" s="23" t="s">
        <v>2663</v>
      </c>
      <c r="E533" s="23" t="s">
        <v>662</v>
      </c>
      <c r="F533" s="23" t="s">
        <v>503</v>
      </c>
      <c r="G533" s="23" t="s">
        <v>175</v>
      </c>
      <c r="H533" s="23" t="s">
        <v>667</v>
      </c>
      <c r="I533" s="23" t="s">
        <v>96</v>
      </c>
      <c r="J533" s="23" t="s">
        <v>2675</v>
      </c>
      <c r="K533" s="23" t="s">
        <v>402</v>
      </c>
      <c r="L533" s="23" t="s">
        <v>689</v>
      </c>
      <c r="M533" s="23" t="s">
        <v>902</v>
      </c>
      <c r="N533" s="23" t="s">
        <v>896</v>
      </c>
      <c r="O533" s="23">
        <v>20000</v>
      </c>
      <c r="P533" s="29" t="s">
        <v>879</v>
      </c>
      <c r="Q533" s="23" t="s">
        <v>2678</v>
      </c>
      <c r="R533" s="23"/>
      <c r="S533" s="23" t="s">
        <v>2673</v>
      </c>
    </row>
    <row r="534" spans="1:19" ht="28.8" x14ac:dyDescent="0.3">
      <c r="A534" s="23" t="s">
        <v>2679</v>
      </c>
      <c r="B534" s="23" t="s">
        <v>658</v>
      </c>
      <c r="C534" s="23" t="s">
        <v>659</v>
      </c>
      <c r="D534" s="23" t="s">
        <v>2663</v>
      </c>
      <c r="E534" s="23" t="s">
        <v>662</v>
      </c>
      <c r="F534" s="23" t="s">
        <v>503</v>
      </c>
      <c r="G534" s="23" t="s">
        <v>175</v>
      </c>
      <c r="H534" s="23" t="s">
        <v>667</v>
      </c>
      <c r="I534" s="23" t="s">
        <v>96</v>
      </c>
      <c r="J534" s="23" t="s">
        <v>689</v>
      </c>
      <c r="K534" s="23" t="s">
        <v>124</v>
      </c>
      <c r="L534" s="23" t="s">
        <v>666</v>
      </c>
      <c r="M534" s="23" t="s">
        <v>902</v>
      </c>
      <c r="N534" s="23" t="s">
        <v>896</v>
      </c>
      <c r="O534" s="23">
        <v>10000</v>
      </c>
      <c r="P534" s="29" t="s">
        <v>879</v>
      </c>
      <c r="Q534" s="23" t="s">
        <v>2680</v>
      </c>
      <c r="R534" s="23"/>
      <c r="S534" s="23" t="s">
        <v>2667</v>
      </c>
    </row>
    <row r="535" spans="1:19" ht="28.8" x14ac:dyDescent="0.3">
      <c r="A535" s="23" t="s">
        <v>2681</v>
      </c>
      <c r="B535" s="23" t="s">
        <v>658</v>
      </c>
      <c r="C535" s="23" t="s">
        <v>659</v>
      </c>
      <c r="D535" s="23" t="s">
        <v>2663</v>
      </c>
      <c r="E535" s="23" t="s">
        <v>662</v>
      </c>
      <c r="F535" s="23" t="s">
        <v>503</v>
      </c>
      <c r="G535" s="23" t="s">
        <v>175</v>
      </c>
      <c r="H535" s="23" t="s">
        <v>667</v>
      </c>
      <c r="I535" s="23" t="s">
        <v>96</v>
      </c>
      <c r="J535" s="23" t="s">
        <v>666</v>
      </c>
      <c r="K535" s="23"/>
      <c r="L535" s="23" t="s">
        <v>2682</v>
      </c>
      <c r="M535" s="23" t="s">
        <v>902</v>
      </c>
      <c r="N535" s="23" t="s">
        <v>929</v>
      </c>
      <c r="O535" s="23">
        <v>0</v>
      </c>
      <c r="P535" s="30" t="s">
        <v>948</v>
      </c>
      <c r="Q535" s="23" t="s">
        <v>2683</v>
      </c>
      <c r="R535" s="23"/>
      <c r="S535" s="23" t="s">
        <v>1396</v>
      </c>
    </row>
    <row r="536" spans="1:19" ht="28.8" x14ac:dyDescent="0.3">
      <c r="A536" s="23" t="s">
        <v>2684</v>
      </c>
      <c r="B536" s="23" t="s">
        <v>669</v>
      </c>
      <c r="C536" s="23" t="s">
        <v>670</v>
      </c>
      <c r="D536" s="23" t="s">
        <v>2685</v>
      </c>
      <c r="E536" s="23" t="s">
        <v>673</v>
      </c>
      <c r="F536" s="23" t="s">
        <v>675</v>
      </c>
      <c r="G536" s="23" t="s">
        <v>675</v>
      </c>
      <c r="H536" s="23" t="s">
        <v>679</v>
      </c>
      <c r="I536" s="23" t="s">
        <v>96</v>
      </c>
      <c r="J536" s="23" t="s">
        <v>2179</v>
      </c>
      <c r="K536" s="23" t="s">
        <v>1431</v>
      </c>
      <c r="L536" s="23" t="s">
        <v>1266</v>
      </c>
      <c r="M536" s="23" t="s">
        <v>138</v>
      </c>
      <c r="N536" s="23" t="s">
        <v>131</v>
      </c>
      <c r="O536" s="23">
        <v>8000</v>
      </c>
      <c r="P536" s="29" t="s">
        <v>879</v>
      </c>
      <c r="Q536" s="23" t="s">
        <v>2053</v>
      </c>
      <c r="R536" s="23" t="s">
        <v>1457</v>
      </c>
      <c r="S536" s="23" t="s">
        <v>2686</v>
      </c>
    </row>
    <row r="537" spans="1:19" ht="28.8" x14ac:dyDescent="0.3">
      <c r="A537" s="23" t="s">
        <v>2687</v>
      </c>
      <c r="B537" s="23" t="s">
        <v>669</v>
      </c>
      <c r="C537" s="23" t="s">
        <v>670</v>
      </c>
      <c r="D537" s="23" t="s">
        <v>2685</v>
      </c>
      <c r="E537" s="23" t="s">
        <v>673</v>
      </c>
      <c r="F537" s="23" t="s">
        <v>675</v>
      </c>
      <c r="G537" s="23" t="s">
        <v>675</v>
      </c>
      <c r="H537" s="23" t="s">
        <v>679</v>
      </c>
      <c r="I537" s="23" t="s">
        <v>96</v>
      </c>
      <c r="J537" s="23" t="s">
        <v>1266</v>
      </c>
      <c r="K537" s="23" t="s">
        <v>1266</v>
      </c>
      <c r="L537" s="23" t="s">
        <v>1512</v>
      </c>
      <c r="M537" s="23" t="s">
        <v>878</v>
      </c>
      <c r="N537" s="23" t="s">
        <v>929</v>
      </c>
      <c r="O537" s="23">
        <v>12000</v>
      </c>
      <c r="P537" s="29" t="s">
        <v>879</v>
      </c>
      <c r="Q537" s="23" t="s">
        <v>2688</v>
      </c>
      <c r="R537" s="23"/>
      <c r="S537" s="23" t="s">
        <v>2686</v>
      </c>
    </row>
    <row r="538" spans="1:19" ht="28.8" x14ac:dyDescent="0.3">
      <c r="A538" s="23" t="s">
        <v>2689</v>
      </c>
      <c r="B538" s="23" t="s">
        <v>669</v>
      </c>
      <c r="C538" s="23" t="s">
        <v>670</v>
      </c>
      <c r="D538" s="23" t="s">
        <v>2685</v>
      </c>
      <c r="E538" s="23" t="s">
        <v>673</v>
      </c>
      <c r="F538" s="23" t="s">
        <v>675</v>
      </c>
      <c r="G538" s="23" t="s">
        <v>675</v>
      </c>
      <c r="H538" s="23" t="s">
        <v>679</v>
      </c>
      <c r="I538" s="23" t="s">
        <v>96</v>
      </c>
      <c r="J538" s="23" t="s">
        <v>1512</v>
      </c>
      <c r="K538" s="23" t="s">
        <v>2404</v>
      </c>
      <c r="L538" s="23" t="s">
        <v>2467</v>
      </c>
      <c r="M538" s="23" t="s">
        <v>878</v>
      </c>
      <c r="N538" s="23" t="s">
        <v>168</v>
      </c>
      <c r="O538" s="23">
        <v>8000</v>
      </c>
      <c r="P538" s="29" t="s">
        <v>879</v>
      </c>
      <c r="Q538" s="23" t="s">
        <v>2690</v>
      </c>
      <c r="R538" s="23"/>
      <c r="S538" s="23" t="s">
        <v>2691</v>
      </c>
    </row>
    <row r="539" spans="1:19" ht="28.8" x14ac:dyDescent="0.3">
      <c r="A539" s="23" t="s">
        <v>2692</v>
      </c>
      <c r="B539" s="23" t="s">
        <v>669</v>
      </c>
      <c r="C539" s="23" t="s">
        <v>670</v>
      </c>
      <c r="D539" s="23" t="s">
        <v>2685</v>
      </c>
      <c r="E539" s="23" t="s">
        <v>673</v>
      </c>
      <c r="F539" s="23" t="s">
        <v>675</v>
      </c>
      <c r="G539" s="23" t="s">
        <v>675</v>
      </c>
      <c r="H539" s="23" t="s">
        <v>679</v>
      </c>
      <c r="I539" s="23" t="s">
        <v>96</v>
      </c>
      <c r="J539" s="23" t="s">
        <v>2467</v>
      </c>
      <c r="K539" s="23" t="s">
        <v>2693</v>
      </c>
      <c r="L539" s="23" t="s">
        <v>2561</v>
      </c>
      <c r="M539" s="23" t="s">
        <v>878</v>
      </c>
      <c r="N539" s="23" t="s">
        <v>219</v>
      </c>
      <c r="O539" s="23">
        <v>15000</v>
      </c>
      <c r="P539" s="29" t="s">
        <v>879</v>
      </c>
      <c r="Q539" s="23" t="s">
        <v>2694</v>
      </c>
      <c r="R539" s="23"/>
      <c r="S539" s="23" t="s">
        <v>2691</v>
      </c>
    </row>
    <row r="540" spans="1:19" ht="28.8" x14ac:dyDescent="0.3">
      <c r="A540" s="23" t="s">
        <v>2695</v>
      </c>
      <c r="B540" s="23" t="s">
        <v>669</v>
      </c>
      <c r="C540" s="23" t="s">
        <v>670</v>
      </c>
      <c r="D540" s="23" t="s">
        <v>2685</v>
      </c>
      <c r="E540" s="23" t="s">
        <v>673</v>
      </c>
      <c r="F540" s="23" t="s">
        <v>675</v>
      </c>
      <c r="G540" s="23" t="s">
        <v>675</v>
      </c>
      <c r="H540" s="23" t="s">
        <v>679</v>
      </c>
      <c r="I540" s="23" t="s">
        <v>96</v>
      </c>
      <c r="J540" s="23" t="s">
        <v>2561</v>
      </c>
      <c r="K540" s="23" t="s">
        <v>1516</v>
      </c>
      <c r="L540" s="23" t="s">
        <v>2696</v>
      </c>
      <c r="M540" s="23" t="s">
        <v>138</v>
      </c>
      <c r="N540" s="23" t="s">
        <v>111</v>
      </c>
      <c r="O540" s="23">
        <v>12000</v>
      </c>
      <c r="P540" s="29" t="s">
        <v>879</v>
      </c>
      <c r="Q540" s="23" t="s">
        <v>2697</v>
      </c>
      <c r="R540" s="23" t="s">
        <v>1457</v>
      </c>
      <c r="S540" s="23" t="s">
        <v>2686</v>
      </c>
    </row>
    <row r="541" spans="1:19" ht="28.8" x14ac:dyDescent="0.3">
      <c r="A541" s="23" t="s">
        <v>2698</v>
      </c>
      <c r="B541" s="23" t="s">
        <v>669</v>
      </c>
      <c r="C541" s="23" t="s">
        <v>670</v>
      </c>
      <c r="D541" s="23" t="s">
        <v>2685</v>
      </c>
      <c r="E541" s="23" t="s">
        <v>673</v>
      </c>
      <c r="F541" s="23" t="s">
        <v>675</v>
      </c>
      <c r="G541" s="23" t="s">
        <v>675</v>
      </c>
      <c r="H541" s="23" t="s">
        <v>679</v>
      </c>
      <c r="I541" s="23" t="s">
        <v>96</v>
      </c>
      <c r="J541" s="23" t="s">
        <v>2699</v>
      </c>
      <c r="K541" s="23" t="s">
        <v>2230</v>
      </c>
      <c r="L541" s="23" t="s">
        <v>1914</v>
      </c>
      <c r="M541" s="23" t="s">
        <v>138</v>
      </c>
      <c r="N541" s="23" t="s">
        <v>920</v>
      </c>
      <c r="O541" s="23">
        <v>12000</v>
      </c>
      <c r="P541" s="29" t="s">
        <v>879</v>
      </c>
      <c r="Q541" s="23" t="s">
        <v>2700</v>
      </c>
      <c r="R541" s="23"/>
      <c r="S541" s="23" t="s">
        <v>2691</v>
      </c>
    </row>
    <row r="542" spans="1:19" ht="28.8" x14ac:dyDescent="0.3">
      <c r="A542" s="23" t="s">
        <v>2701</v>
      </c>
      <c r="B542" s="23" t="s">
        <v>669</v>
      </c>
      <c r="C542" s="23" t="s">
        <v>670</v>
      </c>
      <c r="D542" s="23" t="s">
        <v>2685</v>
      </c>
      <c r="E542" s="23" t="s">
        <v>673</v>
      </c>
      <c r="F542" s="23" t="s">
        <v>675</v>
      </c>
      <c r="G542" s="23" t="s">
        <v>675</v>
      </c>
      <c r="H542" s="23" t="s">
        <v>679</v>
      </c>
      <c r="I542" s="23" t="s">
        <v>96</v>
      </c>
      <c r="J542" s="23" t="s">
        <v>1914</v>
      </c>
      <c r="K542" s="23" t="s">
        <v>1914</v>
      </c>
      <c r="L542" s="23" t="s">
        <v>196</v>
      </c>
      <c r="M542" s="23" t="s">
        <v>138</v>
      </c>
      <c r="N542" s="23" t="s">
        <v>168</v>
      </c>
      <c r="O542" s="23">
        <v>8000</v>
      </c>
      <c r="P542" s="29" t="s">
        <v>879</v>
      </c>
      <c r="Q542" s="23" t="s">
        <v>2702</v>
      </c>
      <c r="R542" s="23"/>
      <c r="S542" s="23" t="s">
        <v>2691</v>
      </c>
    </row>
    <row r="543" spans="1:19" ht="28.8" x14ac:dyDescent="0.3">
      <c r="A543" s="23" t="s">
        <v>2703</v>
      </c>
      <c r="B543" s="23" t="s">
        <v>669</v>
      </c>
      <c r="C543" s="23" t="s">
        <v>670</v>
      </c>
      <c r="D543" s="23" t="s">
        <v>2685</v>
      </c>
      <c r="E543" s="23" t="s">
        <v>673</v>
      </c>
      <c r="F543" s="23" t="s">
        <v>675</v>
      </c>
      <c r="G543" s="23" t="s">
        <v>675</v>
      </c>
      <c r="H543" s="23" t="s">
        <v>679</v>
      </c>
      <c r="I543" s="23" t="s">
        <v>96</v>
      </c>
      <c r="J543" s="23" t="s">
        <v>196</v>
      </c>
      <c r="K543" s="23" t="s">
        <v>579</v>
      </c>
      <c r="L543" s="23" t="s">
        <v>678</v>
      </c>
      <c r="M543" s="23" t="s">
        <v>138</v>
      </c>
      <c r="N543" s="23" t="s">
        <v>920</v>
      </c>
      <c r="O543" s="23">
        <v>12000</v>
      </c>
      <c r="P543" s="29" t="s">
        <v>879</v>
      </c>
      <c r="Q543" s="23" t="s">
        <v>2704</v>
      </c>
      <c r="R543" s="23"/>
      <c r="S543" s="23" t="s">
        <v>2691</v>
      </c>
    </row>
    <row r="544" spans="1:19" ht="28.8" x14ac:dyDescent="0.3">
      <c r="A544" s="23" t="s">
        <v>2705</v>
      </c>
      <c r="B544" s="23" t="s">
        <v>669</v>
      </c>
      <c r="C544" s="23" t="s">
        <v>670</v>
      </c>
      <c r="D544" s="23" t="s">
        <v>2685</v>
      </c>
      <c r="E544" s="23" t="s">
        <v>673</v>
      </c>
      <c r="F544" s="23" t="s">
        <v>675</v>
      </c>
      <c r="G544" s="23" t="s">
        <v>675</v>
      </c>
      <c r="H544" s="23" t="s">
        <v>679</v>
      </c>
      <c r="I544" s="23" t="s">
        <v>96</v>
      </c>
      <c r="J544" s="23" t="s">
        <v>678</v>
      </c>
      <c r="K544" s="23"/>
      <c r="L544" s="23" t="s">
        <v>2706</v>
      </c>
      <c r="M544" s="23" t="s">
        <v>878</v>
      </c>
      <c r="N544" s="23" t="s">
        <v>896</v>
      </c>
      <c r="O544" s="23">
        <v>0</v>
      </c>
      <c r="P544" s="30" t="s">
        <v>948</v>
      </c>
      <c r="Q544" s="23" t="s">
        <v>2707</v>
      </c>
      <c r="R544" s="23"/>
      <c r="S544" s="23" t="s">
        <v>1396</v>
      </c>
    </row>
    <row r="545" spans="1:19" ht="28.8" x14ac:dyDescent="0.3">
      <c r="A545" s="23" t="s">
        <v>2708</v>
      </c>
      <c r="B545" s="23" t="s">
        <v>682</v>
      </c>
      <c r="C545" s="23" t="s">
        <v>670</v>
      </c>
      <c r="D545" s="23" t="s">
        <v>2685</v>
      </c>
      <c r="E545" s="23" t="s">
        <v>683</v>
      </c>
      <c r="F545" s="23" t="s">
        <v>314</v>
      </c>
      <c r="G545" s="23" t="s">
        <v>88</v>
      </c>
      <c r="H545" s="23" t="s">
        <v>679</v>
      </c>
      <c r="I545" s="23" t="s">
        <v>96</v>
      </c>
      <c r="J545" s="23" t="s">
        <v>2399</v>
      </c>
      <c r="K545" s="23" t="s">
        <v>2195</v>
      </c>
      <c r="L545" s="23" t="s">
        <v>1876</v>
      </c>
      <c r="M545" s="23" t="s">
        <v>878</v>
      </c>
      <c r="N545" s="23" t="s">
        <v>929</v>
      </c>
      <c r="O545" s="23">
        <v>12000</v>
      </c>
      <c r="P545" s="29" t="s">
        <v>879</v>
      </c>
      <c r="Q545" s="23" t="s">
        <v>2709</v>
      </c>
      <c r="R545" s="23"/>
      <c r="S545" s="23" t="s">
        <v>2686</v>
      </c>
    </row>
    <row r="546" spans="1:19" ht="28.8" x14ac:dyDescent="0.3">
      <c r="A546" s="23" t="s">
        <v>2710</v>
      </c>
      <c r="B546" s="23" t="s">
        <v>682</v>
      </c>
      <c r="C546" s="23" t="s">
        <v>670</v>
      </c>
      <c r="D546" s="23" t="s">
        <v>2685</v>
      </c>
      <c r="E546" s="23" t="s">
        <v>683</v>
      </c>
      <c r="F546" s="23" t="s">
        <v>314</v>
      </c>
      <c r="G546" s="23" t="s">
        <v>88</v>
      </c>
      <c r="H546" s="23" t="s">
        <v>679</v>
      </c>
      <c r="I546" s="23" t="s">
        <v>96</v>
      </c>
      <c r="J546" s="23" t="s">
        <v>1876</v>
      </c>
      <c r="K546" s="23" t="s">
        <v>1876</v>
      </c>
      <c r="L546" s="23" t="s">
        <v>2416</v>
      </c>
      <c r="M546" s="23" t="s">
        <v>138</v>
      </c>
      <c r="N546" s="23" t="s">
        <v>131</v>
      </c>
      <c r="O546" s="23">
        <v>15000</v>
      </c>
      <c r="P546" s="29" t="s">
        <v>879</v>
      </c>
      <c r="Q546" s="23" t="s">
        <v>2711</v>
      </c>
      <c r="R546" s="23"/>
      <c r="S546" s="23" t="s">
        <v>2691</v>
      </c>
    </row>
    <row r="547" spans="1:19" ht="28.8" x14ac:dyDescent="0.3">
      <c r="A547" s="23" t="s">
        <v>2712</v>
      </c>
      <c r="B547" s="23" t="s">
        <v>682</v>
      </c>
      <c r="C547" s="23" t="s">
        <v>670</v>
      </c>
      <c r="D547" s="23" t="s">
        <v>2685</v>
      </c>
      <c r="E547" s="23" t="s">
        <v>683</v>
      </c>
      <c r="F547" s="23" t="s">
        <v>314</v>
      </c>
      <c r="G547" s="23" t="s">
        <v>88</v>
      </c>
      <c r="H547" s="23" t="s">
        <v>679</v>
      </c>
      <c r="I547" s="23" t="s">
        <v>96</v>
      </c>
      <c r="J547" s="23" t="s">
        <v>2416</v>
      </c>
      <c r="K547" s="23" t="s">
        <v>2419</v>
      </c>
      <c r="L547" s="23" t="s">
        <v>2425</v>
      </c>
      <c r="M547" s="23" t="s">
        <v>878</v>
      </c>
      <c r="N547" s="23" t="s">
        <v>131</v>
      </c>
      <c r="O547" s="23">
        <v>12000</v>
      </c>
      <c r="P547" s="29" t="s">
        <v>879</v>
      </c>
      <c r="Q547" s="23" t="s">
        <v>2713</v>
      </c>
      <c r="R547" s="23"/>
      <c r="S547" s="23" t="s">
        <v>2691</v>
      </c>
    </row>
    <row r="548" spans="1:19" ht="28.8" x14ac:dyDescent="0.3">
      <c r="A548" s="23" t="s">
        <v>2714</v>
      </c>
      <c r="B548" s="23" t="s">
        <v>682</v>
      </c>
      <c r="C548" s="23" t="s">
        <v>670</v>
      </c>
      <c r="D548" s="23" t="s">
        <v>2685</v>
      </c>
      <c r="E548" s="23" t="s">
        <v>683</v>
      </c>
      <c r="F548" s="23" t="s">
        <v>314</v>
      </c>
      <c r="G548" s="23" t="s">
        <v>88</v>
      </c>
      <c r="H548" s="23" t="s">
        <v>679</v>
      </c>
      <c r="I548" s="23" t="s">
        <v>96</v>
      </c>
      <c r="J548" s="23" t="s">
        <v>2425</v>
      </c>
      <c r="K548" s="23" t="s">
        <v>2507</v>
      </c>
      <c r="L548" s="23" t="s">
        <v>2433</v>
      </c>
      <c r="M548" s="23" t="s">
        <v>138</v>
      </c>
      <c r="N548" s="23" t="s">
        <v>896</v>
      </c>
      <c r="O548" s="23">
        <v>12000</v>
      </c>
      <c r="P548" s="29" t="s">
        <v>879</v>
      </c>
      <c r="Q548" s="23" t="s">
        <v>2715</v>
      </c>
      <c r="R548" s="23"/>
      <c r="S548" s="23" t="s">
        <v>2686</v>
      </c>
    </row>
    <row r="549" spans="1:19" ht="28.8" x14ac:dyDescent="0.3">
      <c r="A549" s="23" t="s">
        <v>2716</v>
      </c>
      <c r="B549" s="23" t="s">
        <v>682</v>
      </c>
      <c r="C549" s="23" t="s">
        <v>670</v>
      </c>
      <c r="D549" s="23" t="s">
        <v>2685</v>
      </c>
      <c r="E549" s="23" t="s">
        <v>683</v>
      </c>
      <c r="F549" s="23" t="s">
        <v>314</v>
      </c>
      <c r="G549" s="23" t="s">
        <v>88</v>
      </c>
      <c r="H549" s="23" t="s">
        <v>679</v>
      </c>
      <c r="I549" s="23" t="s">
        <v>96</v>
      </c>
      <c r="J549" s="23" t="s">
        <v>1910</v>
      </c>
      <c r="K549" s="23" t="s">
        <v>1178</v>
      </c>
      <c r="L549" s="23" t="s">
        <v>157</v>
      </c>
      <c r="M549" s="23" t="s">
        <v>878</v>
      </c>
      <c r="N549" s="23" t="s">
        <v>920</v>
      </c>
      <c r="O549" s="23">
        <v>12000</v>
      </c>
      <c r="P549" s="29" t="s">
        <v>879</v>
      </c>
      <c r="Q549" s="23" t="s">
        <v>2717</v>
      </c>
      <c r="R549" s="23"/>
      <c r="S549" s="23" t="s">
        <v>2686</v>
      </c>
    </row>
    <row r="550" spans="1:19" ht="28.8" x14ac:dyDescent="0.3">
      <c r="A550" s="23" t="s">
        <v>2718</v>
      </c>
      <c r="B550" s="23" t="s">
        <v>682</v>
      </c>
      <c r="C550" s="23" t="s">
        <v>670</v>
      </c>
      <c r="D550" s="23" t="s">
        <v>2685</v>
      </c>
      <c r="E550" s="23" t="s">
        <v>683</v>
      </c>
      <c r="F550" s="23" t="s">
        <v>314</v>
      </c>
      <c r="G550" s="23" t="s">
        <v>88</v>
      </c>
      <c r="H550" s="23" t="s">
        <v>679</v>
      </c>
      <c r="I550" s="23" t="s">
        <v>96</v>
      </c>
      <c r="J550" s="23" t="s">
        <v>598</v>
      </c>
      <c r="K550" s="23" t="s">
        <v>430</v>
      </c>
      <c r="L550" s="23" t="s">
        <v>2719</v>
      </c>
      <c r="M550" s="23" t="s">
        <v>138</v>
      </c>
      <c r="N550" s="23" t="s">
        <v>929</v>
      </c>
      <c r="O550" s="23">
        <v>8000</v>
      </c>
      <c r="P550" s="29" t="s">
        <v>879</v>
      </c>
      <c r="Q550" s="23" t="s">
        <v>2720</v>
      </c>
      <c r="R550" s="23"/>
      <c r="S550" s="23" t="s">
        <v>2691</v>
      </c>
    </row>
    <row r="551" spans="1:19" ht="28.8" x14ac:dyDescent="0.3">
      <c r="A551" s="23" t="s">
        <v>2721</v>
      </c>
      <c r="B551" s="23" t="s">
        <v>690</v>
      </c>
      <c r="C551" s="23" t="s">
        <v>691</v>
      </c>
      <c r="D551" s="23" t="s">
        <v>2722</v>
      </c>
      <c r="E551" s="23" t="s">
        <v>694</v>
      </c>
      <c r="F551" s="23" t="s">
        <v>328</v>
      </c>
      <c r="G551" s="23" t="s">
        <v>88</v>
      </c>
      <c r="H551" s="23" t="s">
        <v>699</v>
      </c>
      <c r="I551" s="23" t="s">
        <v>96</v>
      </c>
      <c r="J551" s="23" t="s">
        <v>1172</v>
      </c>
      <c r="K551" s="23" t="s">
        <v>284</v>
      </c>
      <c r="L551" s="23" t="s">
        <v>1175</v>
      </c>
      <c r="M551" s="23" t="s">
        <v>878</v>
      </c>
      <c r="N551" s="23" t="s">
        <v>111</v>
      </c>
      <c r="O551" s="23">
        <v>8000</v>
      </c>
      <c r="P551" s="29" t="s">
        <v>879</v>
      </c>
      <c r="Q551" s="23" t="s">
        <v>2723</v>
      </c>
      <c r="R551" s="23" t="s">
        <v>1063</v>
      </c>
      <c r="S551" s="23" t="s">
        <v>2724</v>
      </c>
    </row>
    <row r="552" spans="1:19" ht="28.8" x14ac:dyDescent="0.3">
      <c r="A552" s="23" t="s">
        <v>2725</v>
      </c>
      <c r="B552" s="23" t="s">
        <v>690</v>
      </c>
      <c r="C552" s="23" t="s">
        <v>691</v>
      </c>
      <c r="D552" s="23" t="s">
        <v>2722</v>
      </c>
      <c r="E552" s="23" t="s">
        <v>694</v>
      </c>
      <c r="F552" s="23" t="s">
        <v>328</v>
      </c>
      <c r="G552" s="23" t="s">
        <v>88</v>
      </c>
      <c r="H552" s="23" t="s">
        <v>699</v>
      </c>
      <c r="I552" s="23" t="s">
        <v>96</v>
      </c>
      <c r="J552" s="23" t="s">
        <v>1175</v>
      </c>
      <c r="K552" s="23" t="s">
        <v>1825</v>
      </c>
      <c r="L552" s="23" t="s">
        <v>1179</v>
      </c>
      <c r="M552" s="23" t="s">
        <v>878</v>
      </c>
      <c r="N552" s="23" t="s">
        <v>920</v>
      </c>
      <c r="O552" s="23">
        <v>10000</v>
      </c>
      <c r="P552" s="29" t="s">
        <v>879</v>
      </c>
      <c r="Q552" s="23" t="s">
        <v>2726</v>
      </c>
      <c r="R552" s="23"/>
      <c r="S552" s="23" t="s">
        <v>2724</v>
      </c>
    </row>
    <row r="553" spans="1:19" ht="28.8" x14ac:dyDescent="0.3">
      <c r="A553" s="23" t="s">
        <v>2727</v>
      </c>
      <c r="B553" s="23" t="s">
        <v>690</v>
      </c>
      <c r="C553" s="23" t="s">
        <v>691</v>
      </c>
      <c r="D553" s="23" t="s">
        <v>2722</v>
      </c>
      <c r="E553" s="23" t="s">
        <v>694</v>
      </c>
      <c r="F553" s="23" t="s">
        <v>328</v>
      </c>
      <c r="G553" s="23" t="s">
        <v>88</v>
      </c>
      <c r="H553" s="23" t="s">
        <v>699</v>
      </c>
      <c r="I553" s="23" t="s">
        <v>96</v>
      </c>
      <c r="J553" s="23" t="s">
        <v>1179</v>
      </c>
      <c r="K553" s="23" t="s">
        <v>698</v>
      </c>
      <c r="L553" s="23" t="s">
        <v>158</v>
      </c>
      <c r="M553" s="23" t="s">
        <v>878</v>
      </c>
      <c r="N553" s="23" t="s">
        <v>219</v>
      </c>
      <c r="O553" s="23">
        <v>10000</v>
      </c>
      <c r="P553" s="29" t="s">
        <v>879</v>
      </c>
      <c r="Q553" s="23" t="s">
        <v>2728</v>
      </c>
      <c r="R553" s="23"/>
      <c r="S553" s="23" t="s">
        <v>2724</v>
      </c>
    </row>
    <row r="554" spans="1:19" ht="28.8" x14ac:dyDescent="0.3">
      <c r="A554" s="23" t="s">
        <v>2729</v>
      </c>
      <c r="B554" s="23" t="s">
        <v>690</v>
      </c>
      <c r="C554" s="23" t="s">
        <v>691</v>
      </c>
      <c r="D554" s="23" t="s">
        <v>2722</v>
      </c>
      <c r="E554" s="23" t="s">
        <v>694</v>
      </c>
      <c r="F554" s="23" t="s">
        <v>328</v>
      </c>
      <c r="G554" s="23" t="s">
        <v>88</v>
      </c>
      <c r="H554" s="23" t="s">
        <v>699</v>
      </c>
      <c r="I554" s="23" t="s">
        <v>96</v>
      </c>
      <c r="J554" s="23" t="s">
        <v>158</v>
      </c>
      <c r="K554" s="23"/>
      <c r="L554" s="23" t="s">
        <v>1184</v>
      </c>
      <c r="M554" s="23" t="s">
        <v>878</v>
      </c>
      <c r="N554" s="23" t="s">
        <v>168</v>
      </c>
      <c r="O554" s="23">
        <v>0</v>
      </c>
      <c r="P554" s="31" t="s">
        <v>1331</v>
      </c>
      <c r="Q554" s="23" t="s">
        <v>2730</v>
      </c>
      <c r="R554" s="23" t="s">
        <v>2252</v>
      </c>
      <c r="S554" s="23" t="s">
        <v>1334</v>
      </c>
    </row>
    <row r="555" spans="1:19" ht="28.8" x14ac:dyDescent="0.3">
      <c r="A555" s="23" t="s">
        <v>2731</v>
      </c>
      <c r="B555" s="23" t="s">
        <v>701</v>
      </c>
      <c r="C555" s="23" t="s">
        <v>702</v>
      </c>
      <c r="D555" s="23" t="s">
        <v>2732</v>
      </c>
      <c r="E555" s="23" t="s">
        <v>706</v>
      </c>
      <c r="F555" s="23" t="s">
        <v>475</v>
      </c>
      <c r="G555" s="23" t="s">
        <v>477</v>
      </c>
      <c r="H555" s="23" t="s">
        <v>710</v>
      </c>
      <c r="I555" s="23" t="s">
        <v>482</v>
      </c>
      <c r="J555" s="23" t="s">
        <v>1035</v>
      </c>
      <c r="K555" s="23" t="s">
        <v>1035</v>
      </c>
      <c r="L555" s="23" t="s">
        <v>1727</v>
      </c>
      <c r="M555" s="23" t="s">
        <v>2733</v>
      </c>
      <c r="N555" s="23" t="s">
        <v>131</v>
      </c>
      <c r="O555" s="23">
        <v>100000</v>
      </c>
      <c r="P555" s="29" t="s">
        <v>879</v>
      </c>
      <c r="Q555" s="23" t="s">
        <v>2734</v>
      </c>
      <c r="R555" s="23"/>
      <c r="S555" s="23" t="s">
        <v>2735</v>
      </c>
    </row>
    <row r="556" spans="1:19" ht="28.8" x14ac:dyDescent="0.3">
      <c r="A556" s="23" t="s">
        <v>2736</v>
      </c>
      <c r="B556" s="23" t="s">
        <v>701</v>
      </c>
      <c r="C556" s="23" t="s">
        <v>702</v>
      </c>
      <c r="D556" s="23" t="s">
        <v>2732</v>
      </c>
      <c r="E556" s="23" t="s">
        <v>706</v>
      </c>
      <c r="F556" s="23" t="s">
        <v>475</v>
      </c>
      <c r="G556" s="23" t="s">
        <v>477</v>
      </c>
      <c r="H556" s="23" t="s">
        <v>710</v>
      </c>
      <c r="I556" s="23" t="s">
        <v>482</v>
      </c>
      <c r="J556" s="23" t="s">
        <v>1727</v>
      </c>
      <c r="K556" s="23" t="s">
        <v>2173</v>
      </c>
      <c r="L556" s="23" t="s">
        <v>2519</v>
      </c>
      <c r="M556" s="23" t="s">
        <v>2733</v>
      </c>
      <c r="N556" s="23" t="s">
        <v>920</v>
      </c>
      <c r="O556" s="23">
        <v>85000</v>
      </c>
      <c r="P556" s="29" t="s">
        <v>879</v>
      </c>
      <c r="Q556" s="23" t="s">
        <v>2737</v>
      </c>
      <c r="R556" s="23"/>
      <c r="S556" s="23" t="s">
        <v>2738</v>
      </c>
    </row>
    <row r="557" spans="1:19" ht="28.8" x14ac:dyDescent="0.3">
      <c r="A557" s="23" t="s">
        <v>2739</v>
      </c>
      <c r="B557" s="23" t="s">
        <v>701</v>
      </c>
      <c r="C557" s="23" t="s">
        <v>702</v>
      </c>
      <c r="D557" s="23" t="s">
        <v>2732</v>
      </c>
      <c r="E557" s="23" t="s">
        <v>706</v>
      </c>
      <c r="F557" s="23" t="s">
        <v>475</v>
      </c>
      <c r="G557" s="23" t="s">
        <v>477</v>
      </c>
      <c r="H557" s="23" t="s">
        <v>710</v>
      </c>
      <c r="I557" s="23" t="s">
        <v>482</v>
      </c>
      <c r="J557" s="23" t="s">
        <v>2519</v>
      </c>
      <c r="K557" s="23" t="s">
        <v>2176</v>
      </c>
      <c r="L557" s="23" t="s">
        <v>2740</v>
      </c>
      <c r="M557" s="23" t="s">
        <v>878</v>
      </c>
      <c r="N557" s="23" t="s">
        <v>131</v>
      </c>
      <c r="O557" s="23">
        <v>85000</v>
      </c>
      <c r="P557" s="29" t="s">
        <v>879</v>
      </c>
      <c r="Q557" s="23" t="s">
        <v>2741</v>
      </c>
      <c r="R557" s="23" t="s">
        <v>1457</v>
      </c>
      <c r="S557" s="23" t="s">
        <v>2735</v>
      </c>
    </row>
    <row r="558" spans="1:19" ht="28.8" x14ac:dyDescent="0.3">
      <c r="A558" s="23" t="s">
        <v>2742</v>
      </c>
      <c r="B558" s="23" t="s">
        <v>701</v>
      </c>
      <c r="C558" s="23" t="s">
        <v>702</v>
      </c>
      <c r="D558" s="23" t="s">
        <v>2732</v>
      </c>
      <c r="E558" s="23" t="s">
        <v>706</v>
      </c>
      <c r="F558" s="23" t="s">
        <v>475</v>
      </c>
      <c r="G558" s="23" t="s">
        <v>477</v>
      </c>
      <c r="H558" s="23" t="s">
        <v>710</v>
      </c>
      <c r="I558" s="23" t="s">
        <v>482</v>
      </c>
      <c r="J558" s="23" t="s">
        <v>2740</v>
      </c>
      <c r="K558" s="23" t="s">
        <v>2743</v>
      </c>
      <c r="L558" s="23" t="s">
        <v>1731</v>
      </c>
      <c r="M558" s="23" t="s">
        <v>878</v>
      </c>
      <c r="N558" s="23" t="s">
        <v>168</v>
      </c>
      <c r="O558" s="23">
        <v>65000</v>
      </c>
      <c r="P558" s="29" t="s">
        <v>879</v>
      </c>
      <c r="Q558" s="23" t="s">
        <v>2744</v>
      </c>
      <c r="R558" s="23"/>
      <c r="S558" s="23" t="s">
        <v>2735</v>
      </c>
    </row>
    <row r="559" spans="1:19" ht="28.8" x14ac:dyDescent="0.3">
      <c r="A559" s="23" t="s">
        <v>2745</v>
      </c>
      <c r="B559" s="23" t="s">
        <v>701</v>
      </c>
      <c r="C559" s="23" t="s">
        <v>702</v>
      </c>
      <c r="D559" s="23" t="s">
        <v>2732</v>
      </c>
      <c r="E559" s="23" t="s">
        <v>706</v>
      </c>
      <c r="F559" s="23" t="s">
        <v>475</v>
      </c>
      <c r="G559" s="23" t="s">
        <v>477</v>
      </c>
      <c r="H559" s="23" t="s">
        <v>710</v>
      </c>
      <c r="I559" s="23" t="s">
        <v>482</v>
      </c>
      <c r="J559" s="23" t="s">
        <v>1731</v>
      </c>
      <c r="K559" s="23" t="s">
        <v>1581</v>
      </c>
      <c r="L559" s="23" t="s">
        <v>2746</v>
      </c>
      <c r="M559" s="23" t="s">
        <v>138</v>
      </c>
      <c r="N559" s="23" t="s">
        <v>920</v>
      </c>
      <c r="O559" s="23">
        <v>65000</v>
      </c>
      <c r="P559" s="29" t="s">
        <v>879</v>
      </c>
      <c r="Q559" s="23" t="s">
        <v>2380</v>
      </c>
      <c r="R559" s="23"/>
      <c r="S559" s="23" t="s">
        <v>2735</v>
      </c>
    </row>
    <row r="560" spans="1:19" ht="28.8" x14ac:dyDescent="0.3">
      <c r="A560" s="23" t="s">
        <v>2747</v>
      </c>
      <c r="B560" s="23" t="s">
        <v>701</v>
      </c>
      <c r="C560" s="23" t="s">
        <v>702</v>
      </c>
      <c r="D560" s="23" t="s">
        <v>2732</v>
      </c>
      <c r="E560" s="23" t="s">
        <v>706</v>
      </c>
      <c r="F560" s="23" t="s">
        <v>475</v>
      </c>
      <c r="G560" s="23" t="s">
        <v>477</v>
      </c>
      <c r="H560" s="23" t="s">
        <v>710</v>
      </c>
      <c r="I560" s="23" t="s">
        <v>482</v>
      </c>
      <c r="J560" s="23" t="s">
        <v>2746</v>
      </c>
      <c r="K560" s="23" t="s">
        <v>2186</v>
      </c>
      <c r="L560" s="23" t="s">
        <v>2322</v>
      </c>
      <c r="M560" s="23" t="s">
        <v>2733</v>
      </c>
      <c r="N560" s="23" t="s">
        <v>131</v>
      </c>
      <c r="O560" s="23">
        <v>85000</v>
      </c>
      <c r="P560" s="29" t="s">
        <v>879</v>
      </c>
      <c r="Q560" s="23" t="s">
        <v>2748</v>
      </c>
      <c r="R560" s="23"/>
      <c r="S560" s="23" t="s">
        <v>2735</v>
      </c>
    </row>
    <row r="561" spans="1:19" ht="28.8" x14ac:dyDescent="0.3">
      <c r="A561" s="23" t="s">
        <v>2749</v>
      </c>
      <c r="B561" s="23" t="s">
        <v>701</v>
      </c>
      <c r="C561" s="23" t="s">
        <v>702</v>
      </c>
      <c r="D561" s="23" t="s">
        <v>2732</v>
      </c>
      <c r="E561" s="23" t="s">
        <v>706</v>
      </c>
      <c r="F561" s="23" t="s">
        <v>475</v>
      </c>
      <c r="G561" s="23" t="s">
        <v>477</v>
      </c>
      <c r="H561" s="23" t="s">
        <v>710</v>
      </c>
      <c r="I561" s="23" t="s">
        <v>482</v>
      </c>
      <c r="J561" s="23" t="s">
        <v>2322</v>
      </c>
      <c r="K561" s="23" t="s">
        <v>1206</v>
      </c>
      <c r="L561" s="23" t="s">
        <v>1734</v>
      </c>
      <c r="M561" s="23" t="s">
        <v>878</v>
      </c>
      <c r="N561" s="23" t="s">
        <v>168</v>
      </c>
      <c r="O561" s="23">
        <v>100000</v>
      </c>
      <c r="P561" s="29" t="s">
        <v>879</v>
      </c>
      <c r="Q561" s="23" t="s">
        <v>2750</v>
      </c>
      <c r="R561" s="23"/>
      <c r="S561" s="23" t="s">
        <v>2735</v>
      </c>
    </row>
    <row r="562" spans="1:19" ht="28.8" x14ac:dyDescent="0.3">
      <c r="A562" s="23" t="s">
        <v>2751</v>
      </c>
      <c r="B562" s="23" t="s">
        <v>701</v>
      </c>
      <c r="C562" s="23" t="s">
        <v>702</v>
      </c>
      <c r="D562" s="23" t="s">
        <v>2732</v>
      </c>
      <c r="E562" s="23" t="s">
        <v>706</v>
      </c>
      <c r="F562" s="23" t="s">
        <v>475</v>
      </c>
      <c r="G562" s="23" t="s">
        <v>477</v>
      </c>
      <c r="H562" s="23" t="s">
        <v>710</v>
      </c>
      <c r="I562" s="23" t="s">
        <v>482</v>
      </c>
      <c r="J562" s="23" t="s">
        <v>1734</v>
      </c>
      <c r="K562" s="23" t="s">
        <v>2752</v>
      </c>
      <c r="L562" s="23" t="s">
        <v>2521</v>
      </c>
      <c r="M562" s="23" t="s">
        <v>2733</v>
      </c>
      <c r="N562" s="23" t="s">
        <v>131</v>
      </c>
      <c r="O562" s="23">
        <v>120000</v>
      </c>
      <c r="P562" s="29" t="s">
        <v>879</v>
      </c>
      <c r="Q562" s="23" t="s">
        <v>2753</v>
      </c>
      <c r="R562" s="23"/>
      <c r="S562" s="23" t="s">
        <v>2735</v>
      </c>
    </row>
    <row r="563" spans="1:19" ht="28.8" x14ac:dyDescent="0.3">
      <c r="A563" s="23" t="s">
        <v>2754</v>
      </c>
      <c r="B563" s="23" t="s">
        <v>701</v>
      </c>
      <c r="C563" s="23" t="s">
        <v>702</v>
      </c>
      <c r="D563" s="23" t="s">
        <v>2732</v>
      </c>
      <c r="E563" s="23" t="s">
        <v>706</v>
      </c>
      <c r="F563" s="23" t="s">
        <v>475</v>
      </c>
      <c r="G563" s="23" t="s">
        <v>477</v>
      </c>
      <c r="H563" s="23" t="s">
        <v>710</v>
      </c>
      <c r="I563" s="23" t="s">
        <v>482</v>
      </c>
      <c r="J563" s="23" t="s">
        <v>2521</v>
      </c>
      <c r="K563" s="23" t="s">
        <v>2755</v>
      </c>
      <c r="L563" s="23" t="s">
        <v>1371</v>
      </c>
      <c r="M563" s="23" t="s">
        <v>878</v>
      </c>
      <c r="N563" s="23" t="s">
        <v>131</v>
      </c>
      <c r="O563" s="23">
        <v>65000</v>
      </c>
      <c r="P563" s="29" t="s">
        <v>879</v>
      </c>
      <c r="Q563" s="23" t="s">
        <v>2756</v>
      </c>
      <c r="R563" s="23"/>
      <c r="S563" s="23" t="s">
        <v>2735</v>
      </c>
    </row>
    <row r="564" spans="1:19" ht="28.8" x14ac:dyDescent="0.3">
      <c r="A564" s="23" t="s">
        <v>2757</v>
      </c>
      <c r="B564" s="23" t="s">
        <v>701</v>
      </c>
      <c r="C564" s="23" t="s">
        <v>702</v>
      </c>
      <c r="D564" s="23" t="s">
        <v>2732</v>
      </c>
      <c r="E564" s="23" t="s">
        <v>706</v>
      </c>
      <c r="F564" s="23" t="s">
        <v>475</v>
      </c>
      <c r="G564" s="23" t="s">
        <v>477</v>
      </c>
      <c r="H564" s="23" t="s">
        <v>710</v>
      </c>
      <c r="I564" s="23" t="s">
        <v>482</v>
      </c>
      <c r="J564" s="23" t="s">
        <v>1371</v>
      </c>
      <c r="K564" s="23" t="s">
        <v>2550</v>
      </c>
      <c r="L564" s="23" t="s">
        <v>1310</v>
      </c>
      <c r="M564" s="23" t="s">
        <v>878</v>
      </c>
      <c r="N564" s="23" t="s">
        <v>929</v>
      </c>
      <c r="O564" s="23">
        <v>120000</v>
      </c>
      <c r="P564" s="29" t="s">
        <v>879</v>
      </c>
      <c r="Q564" s="23" t="s">
        <v>2758</v>
      </c>
      <c r="R564" s="23"/>
      <c r="S564" s="23" t="s">
        <v>2759</v>
      </c>
    </row>
    <row r="565" spans="1:19" ht="28.8" x14ac:dyDescent="0.3">
      <c r="A565" s="23" t="s">
        <v>2760</v>
      </c>
      <c r="B565" s="23" t="s">
        <v>701</v>
      </c>
      <c r="C565" s="23" t="s">
        <v>702</v>
      </c>
      <c r="D565" s="23" t="s">
        <v>2732</v>
      </c>
      <c r="E565" s="23" t="s">
        <v>706</v>
      </c>
      <c r="F565" s="23" t="s">
        <v>475</v>
      </c>
      <c r="G565" s="23" t="s">
        <v>477</v>
      </c>
      <c r="H565" s="23" t="s">
        <v>710</v>
      </c>
      <c r="I565" s="23" t="s">
        <v>482</v>
      </c>
      <c r="J565" s="23" t="s">
        <v>1310</v>
      </c>
      <c r="K565" s="23" t="s">
        <v>300</v>
      </c>
      <c r="L565" s="23" t="s">
        <v>2761</v>
      </c>
      <c r="M565" s="23" t="s">
        <v>2733</v>
      </c>
      <c r="N565" s="23" t="s">
        <v>219</v>
      </c>
      <c r="O565" s="23">
        <v>120000</v>
      </c>
      <c r="P565" s="29" t="s">
        <v>879</v>
      </c>
      <c r="Q565" s="23" t="s">
        <v>2762</v>
      </c>
      <c r="R565" s="23"/>
      <c r="S565" s="23" t="s">
        <v>2738</v>
      </c>
    </row>
    <row r="566" spans="1:19" ht="28.8" x14ac:dyDescent="0.3">
      <c r="A566" s="23" t="s">
        <v>2763</v>
      </c>
      <c r="B566" s="23" t="s">
        <v>701</v>
      </c>
      <c r="C566" s="23" t="s">
        <v>702</v>
      </c>
      <c r="D566" s="23" t="s">
        <v>2732</v>
      </c>
      <c r="E566" s="23" t="s">
        <v>706</v>
      </c>
      <c r="F566" s="23" t="s">
        <v>475</v>
      </c>
      <c r="G566" s="23" t="s">
        <v>477</v>
      </c>
      <c r="H566" s="23" t="s">
        <v>710</v>
      </c>
      <c r="I566" s="23" t="s">
        <v>482</v>
      </c>
      <c r="J566" s="23" t="s">
        <v>2761</v>
      </c>
      <c r="K566" s="23" t="s">
        <v>2764</v>
      </c>
      <c r="L566" s="23" t="s">
        <v>2328</v>
      </c>
      <c r="M566" s="23" t="s">
        <v>2733</v>
      </c>
      <c r="N566" s="23" t="s">
        <v>111</v>
      </c>
      <c r="O566" s="23">
        <v>65000</v>
      </c>
      <c r="P566" s="29" t="s">
        <v>879</v>
      </c>
      <c r="Q566" s="23" t="s">
        <v>2765</v>
      </c>
      <c r="R566" s="23"/>
      <c r="S566" s="23" t="s">
        <v>2766</v>
      </c>
    </row>
    <row r="567" spans="1:19" ht="28.8" x14ac:dyDescent="0.3">
      <c r="A567" s="23" t="s">
        <v>2767</v>
      </c>
      <c r="B567" s="23" t="s">
        <v>701</v>
      </c>
      <c r="C567" s="23" t="s">
        <v>702</v>
      </c>
      <c r="D567" s="23" t="s">
        <v>2732</v>
      </c>
      <c r="E567" s="23" t="s">
        <v>706</v>
      </c>
      <c r="F567" s="23" t="s">
        <v>475</v>
      </c>
      <c r="G567" s="23" t="s">
        <v>477</v>
      </c>
      <c r="H567" s="23" t="s">
        <v>710</v>
      </c>
      <c r="I567" s="23" t="s">
        <v>482</v>
      </c>
      <c r="J567" s="23" t="s">
        <v>2328</v>
      </c>
      <c r="K567" s="23" t="s">
        <v>1375</v>
      </c>
      <c r="L567" s="23" t="s">
        <v>1314</v>
      </c>
      <c r="M567" s="23" t="s">
        <v>2733</v>
      </c>
      <c r="N567" s="23" t="s">
        <v>929</v>
      </c>
      <c r="O567" s="23">
        <v>65000</v>
      </c>
      <c r="P567" s="29" t="s">
        <v>879</v>
      </c>
      <c r="Q567" s="23" t="s">
        <v>2768</v>
      </c>
      <c r="R567" s="23"/>
      <c r="S567" s="23" t="s">
        <v>2766</v>
      </c>
    </row>
    <row r="568" spans="1:19" ht="28.8" x14ac:dyDescent="0.3">
      <c r="A568" s="23" t="s">
        <v>2769</v>
      </c>
      <c r="B568" s="23" t="s">
        <v>701</v>
      </c>
      <c r="C568" s="23" t="s">
        <v>702</v>
      </c>
      <c r="D568" s="23" t="s">
        <v>2732</v>
      </c>
      <c r="E568" s="23" t="s">
        <v>706</v>
      </c>
      <c r="F568" s="23" t="s">
        <v>475</v>
      </c>
      <c r="G568" s="23" t="s">
        <v>477</v>
      </c>
      <c r="H568" s="23" t="s">
        <v>710</v>
      </c>
      <c r="I568" s="23" t="s">
        <v>482</v>
      </c>
      <c r="J568" s="23" t="s">
        <v>1314</v>
      </c>
      <c r="K568" s="23" t="s">
        <v>1311</v>
      </c>
      <c r="L568" s="23" t="s">
        <v>2524</v>
      </c>
      <c r="M568" s="23" t="s">
        <v>138</v>
      </c>
      <c r="N568" s="23" t="s">
        <v>219</v>
      </c>
      <c r="O568" s="23">
        <v>100000</v>
      </c>
      <c r="P568" s="29" t="s">
        <v>879</v>
      </c>
      <c r="Q568" s="23" t="s">
        <v>2770</v>
      </c>
      <c r="R568" s="23"/>
      <c r="S568" s="23" t="s">
        <v>2766</v>
      </c>
    </row>
    <row r="569" spans="1:19" ht="28.8" x14ac:dyDescent="0.3">
      <c r="A569" s="23" t="s">
        <v>2771</v>
      </c>
      <c r="B569" s="23" t="s">
        <v>701</v>
      </c>
      <c r="C569" s="23" t="s">
        <v>702</v>
      </c>
      <c r="D569" s="23" t="s">
        <v>2732</v>
      </c>
      <c r="E569" s="23" t="s">
        <v>706</v>
      </c>
      <c r="F569" s="23" t="s">
        <v>475</v>
      </c>
      <c r="G569" s="23" t="s">
        <v>477</v>
      </c>
      <c r="H569" s="23" t="s">
        <v>710</v>
      </c>
      <c r="I569" s="23" t="s">
        <v>482</v>
      </c>
      <c r="J569" s="23" t="s">
        <v>2524</v>
      </c>
      <c r="K569" s="23" t="s">
        <v>2772</v>
      </c>
      <c r="L569" s="23" t="s">
        <v>2332</v>
      </c>
      <c r="M569" s="23" t="s">
        <v>878</v>
      </c>
      <c r="N569" s="23" t="s">
        <v>920</v>
      </c>
      <c r="O569" s="23">
        <v>120000</v>
      </c>
      <c r="P569" s="29" t="s">
        <v>879</v>
      </c>
      <c r="Q569" s="23" t="s">
        <v>2773</v>
      </c>
      <c r="R569" s="23"/>
      <c r="S569" s="23" t="s">
        <v>2766</v>
      </c>
    </row>
    <row r="570" spans="1:19" ht="28.8" x14ac:dyDescent="0.3">
      <c r="A570" s="23" t="s">
        <v>2774</v>
      </c>
      <c r="B570" s="23" t="s">
        <v>701</v>
      </c>
      <c r="C570" s="23" t="s">
        <v>702</v>
      </c>
      <c r="D570" s="23" t="s">
        <v>2732</v>
      </c>
      <c r="E570" s="23" t="s">
        <v>706</v>
      </c>
      <c r="F570" s="23" t="s">
        <v>475</v>
      </c>
      <c r="G570" s="23" t="s">
        <v>477</v>
      </c>
      <c r="H570" s="23" t="s">
        <v>710</v>
      </c>
      <c r="I570" s="23" t="s">
        <v>482</v>
      </c>
      <c r="J570" s="23" t="s">
        <v>2332</v>
      </c>
      <c r="K570" s="23" t="s">
        <v>1379</v>
      </c>
      <c r="L570" s="23" t="s">
        <v>1741</v>
      </c>
      <c r="M570" s="23" t="s">
        <v>878</v>
      </c>
      <c r="N570" s="23" t="s">
        <v>219</v>
      </c>
      <c r="O570" s="23">
        <v>120000</v>
      </c>
      <c r="P570" s="29" t="s">
        <v>879</v>
      </c>
      <c r="Q570" s="23" t="s">
        <v>2775</v>
      </c>
      <c r="R570" s="23"/>
      <c r="S570" s="23" t="s">
        <v>2766</v>
      </c>
    </row>
    <row r="571" spans="1:19" ht="28.8" x14ac:dyDescent="0.3">
      <c r="A571" s="23" t="s">
        <v>2776</v>
      </c>
      <c r="B571" s="23" t="s">
        <v>701</v>
      </c>
      <c r="C571" s="23" t="s">
        <v>702</v>
      </c>
      <c r="D571" s="23" t="s">
        <v>2732</v>
      </c>
      <c r="E571" s="23" t="s">
        <v>706</v>
      </c>
      <c r="F571" s="23" t="s">
        <v>475</v>
      </c>
      <c r="G571" s="23" t="s">
        <v>477</v>
      </c>
      <c r="H571" s="23" t="s">
        <v>710</v>
      </c>
      <c r="I571" s="23" t="s">
        <v>482</v>
      </c>
      <c r="J571" s="23" t="s">
        <v>1741</v>
      </c>
      <c r="K571" s="23" t="s">
        <v>1595</v>
      </c>
      <c r="L571" s="23" t="s">
        <v>2221</v>
      </c>
      <c r="M571" s="23" t="s">
        <v>878</v>
      </c>
      <c r="N571" s="23" t="s">
        <v>929</v>
      </c>
      <c r="O571" s="23">
        <v>120000</v>
      </c>
      <c r="P571" s="29" t="s">
        <v>879</v>
      </c>
      <c r="Q571" s="23" t="s">
        <v>2777</v>
      </c>
      <c r="R571" s="23"/>
      <c r="S571" s="23" t="s">
        <v>2735</v>
      </c>
    </row>
    <row r="572" spans="1:19" ht="28.8" x14ac:dyDescent="0.3">
      <c r="A572" s="23" t="s">
        <v>2778</v>
      </c>
      <c r="B572" s="23" t="s">
        <v>701</v>
      </c>
      <c r="C572" s="23" t="s">
        <v>702</v>
      </c>
      <c r="D572" s="23" t="s">
        <v>2732</v>
      </c>
      <c r="E572" s="23" t="s">
        <v>706</v>
      </c>
      <c r="F572" s="23" t="s">
        <v>475</v>
      </c>
      <c r="G572" s="23" t="s">
        <v>477</v>
      </c>
      <c r="H572" s="23" t="s">
        <v>710</v>
      </c>
      <c r="I572" s="23" t="s">
        <v>482</v>
      </c>
      <c r="J572" s="23" t="s">
        <v>2336</v>
      </c>
      <c r="K572" s="23" t="s">
        <v>480</v>
      </c>
      <c r="L572" s="23" t="s">
        <v>1742</v>
      </c>
      <c r="M572" s="23" t="s">
        <v>878</v>
      </c>
      <c r="N572" s="23" t="s">
        <v>929</v>
      </c>
      <c r="O572" s="23">
        <v>120000</v>
      </c>
      <c r="P572" s="29" t="s">
        <v>879</v>
      </c>
      <c r="Q572" s="23" t="s">
        <v>2779</v>
      </c>
      <c r="R572" s="23"/>
      <c r="S572" s="23" t="s">
        <v>2735</v>
      </c>
    </row>
    <row r="573" spans="1:19" ht="28.8" x14ac:dyDescent="0.3">
      <c r="A573" s="23" t="s">
        <v>2780</v>
      </c>
      <c r="B573" s="23" t="s">
        <v>701</v>
      </c>
      <c r="C573" s="23" t="s">
        <v>702</v>
      </c>
      <c r="D573" s="23" t="s">
        <v>2732</v>
      </c>
      <c r="E573" s="23" t="s">
        <v>706</v>
      </c>
      <c r="F573" s="23" t="s">
        <v>475</v>
      </c>
      <c r="G573" s="23" t="s">
        <v>477</v>
      </c>
      <c r="H573" s="23" t="s">
        <v>710</v>
      </c>
      <c r="I573" s="23" t="s">
        <v>482</v>
      </c>
      <c r="J573" s="23" t="s">
        <v>1742</v>
      </c>
      <c r="K573" s="23" t="s">
        <v>1172</v>
      </c>
      <c r="L573" s="23" t="s">
        <v>2528</v>
      </c>
      <c r="M573" s="23" t="s">
        <v>2733</v>
      </c>
      <c r="N573" s="23" t="s">
        <v>219</v>
      </c>
      <c r="O573" s="23">
        <v>85000</v>
      </c>
      <c r="P573" s="29" t="s">
        <v>879</v>
      </c>
      <c r="Q573" s="23" t="s">
        <v>2781</v>
      </c>
      <c r="R573" s="23" t="s">
        <v>1584</v>
      </c>
      <c r="S573" s="23" t="s">
        <v>2738</v>
      </c>
    </row>
    <row r="574" spans="1:19" ht="28.8" x14ac:dyDescent="0.3">
      <c r="A574" s="23" t="s">
        <v>2782</v>
      </c>
      <c r="B574" s="23" t="s">
        <v>701</v>
      </c>
      <c r="C574" s="23" t="s">
        <v>702</v>
      </c>
      <c r="D574" s="23" t="s">
        <v>2732</v>
      </c>
      <c r="E574" s="23" t="s">
        <v>706</v>
      </c>
      <c r="F574" s="23" t="s">
        <v>475</v>
      </c>
      <c r="G574" s="23" t="s">
        <v>477</v>
      </c>
      <c r="H574" s="23" t="s">
        <v>710</v>
      </c>
      <c r="I574" s="23" t="s">
        <v>482</v>
      </c>
      <c r="J574" s="23" t="s">
        <v>2528</v>
      </c>
      <c r="K574" s="23" t="s">
        <v>2227</v>
      </c>
      <c r="L574" s="23" t="s">
        <v>2233</v>
      </c>
      <c r="M574" s="23" t="s">
        <v>2733</v>
      </c>
      <c r="N574" s="23" t="s">
        <v>131</v>
      </c>
      <c r="O574" s="23">
        <v>120000</v>
      </c>
      <c r="P574" s="29" t="s">
        <v>879</v>
      </c>
      <c r="Q574" s="23" t="s">
        <v>2783</v>
      </c>
      <c r="R574" s="23"/>
      <c r="S574" s="23" t="s">
        <v>2759</v>
      </c>
    </row>
    <row r="575" spans="1:19" ht="28.8" x14ac:dyDescent="0.3">
      <c r="A575" s="23" t="s">
        <v>2784</v>
      </c>
      <c r="B575" s="23" t="s">
        <v>701</v>
      </c>
      <c r="C575" s="23" t="s">
        <v>702</v>
      </c>
      <c r="D575" s="23" t="s">
        <v>2732</v>
      </c>
      <c r="E575" s="23" t="s">
        <v>706</v>
      </c>
      <c r="F575" s="23" t="s">
        <v>475</v>
      </c>
      <c r="G575" s="23" t="s">
        <v>477</v>
      </c>
      <c r="H575" s="23" t="s">
        <v>710</v>
      </c>
      <c r="I575" s="23" t="s">
        <v>482</v>
      </c>
      <c r="J575" s="23" t="s">
        <v>2233</v>
      </c>
      <c r="K575" s="23" t="s">
        <v>2486</v>
      </c>
      <c r="L575" s="23" t="s">
        <v>1602</v>
      </c>
      <c r="M575" s="23" t="s">
        <v>2733</v>
      </c>
      <c r="N575" s="23" t="s">
        <v>896</v>
      </c>
      <c r="O575" s="23">
        <v>120000</v>
      </c>
      <c r="P575" s="29" t="s">
        <v>879</v>
      </c>
      <c r="Q575" s="23" t="s">
        <v>2785</v>
      </c>
      <c r="R575" s="23"/>
      <c r="S575" s="23" t="s">
        <v>2735</v>
      </c>
    </row>
    <row r="576" spans="1:19" ht="28.8" x14ac:dyDescent="0.3">
      <c r="A576" s="23" t="s">
        <v>2786</v>
      </c>
      <c r="B576" s="23" t="s">
        <v>701</v>
      </c>
      <c r="C576" s="23" t="s">
        <v>702</v>
      </c>
      <c r="D576" s="23" t="s">
        <v>2732</v>
      </c>
      <c r="E576" s="23" t="s">
        <v>706</v>
      </c>
      <c r="F576" s="23" t="s">
        <v>475</v>
      </c>
      <c r="G576" s="23" t="s">
        <v>477</v>
      </c>
      <c r="H576" s="23" t="s">
        <v>710</v>
      </c>
      <c r="I576" s="23" t="s">
        <v>482</v>
      </c>
      <c r="J576" s="23" t="s">
        <v>1602</v>
      </c>
      <c r="K576" s="23" t="s">
        <v>1825</v>
      </c>
      <c r="L576" s="23" t="s">
        <v>2787</v>
      </c>
      <c r="M576" s="23" t="s">
        <v>2733</v>
      </c>
      <c r="N576" s="23" t="s">
        <v>929</v>
      </c>
      <c r="O576" s="23">
        <v>65000</v>
      </c>
      <c r="P576" s="29" t="s">
        <v>879</v>
      </c>
      <c r="Q576" s="23" t="s">
        <v>2788</v>
      </c>
      <c r="R576" s="23"/>
      <c r="S576" s="23" t="s">
        <v>2735</v>
      </c>
    </row>
    <row r="577" spans="1:19" ht="28.8" x14ac:dyDescent="0.3">
      <c r="A577" s="23" t="s">
        <v>2789</v>
      </c>
      <c r="B577" s="23" t="s">
        <v>701</v>
      </c>
      <c r="C577" s="23" t="s">
        <v>702</v>
      </c>
      <c r="D577" s="23" t="s">
        <v>2732</v>
      </c>
      <c r="E577" s="23" t="s">
        <v>706</v>
      </c>
      <c r="F577" s="23" t="s">
        <v>475</v>
      </c>
      <c r="G577" s="23" t="s">
        <v>477</v>
      </c>
      <c r="H577" s="23" t="s">
        <v>710</v>
      </c>
      <c r="I577" s="23" t="s">
        <v>482</v>
      </c>
      <c r="J577" s="23" t="s">
        <v>2787</v>
      </c>
      <c r="K577" s="23" t="s">
        <v>2790</v>
      </c>
      <c r="L577" s="23" t="s">
        <v>492</v>
      </c>
      <c r="M577" s="23" t="s">
        <v>2733</v>
      </c>
      <c r="N577" s="23" t="s">
        <v>219</v>
      </c>
      <c r="O577" s="23">
        <v>65000</v>
      </c>
      <c r="P577" s="29" t="s">
        <v>879</v>
      </c>
      <c r="Q577" s="23" t="s">
        <v>2791</v>
      </c>
      <c r="R577" s="23"/>
      <c r="S577" s="23" t="s">
        <v>2759</v>
      </c>
    </row>
    <row r="578" spans="1:19" ht="28.8" x14ac:dyDescent="0.3">
      <c r="A578" s="23" t="s">
        <v>2792</v>
      </c>
      <c r="B578" s="23" t="s">
        <v>701</v>
      </c>
      <c r="C578" s="23" t="s">
        <v>702</v>
      </c>
      <c r="D578" s="23" t="s">
        <v>2732</v>
      </c>
      <c r="E578" s="23" t="s">
        <v>706</v>
      </c>
      <c r="F578" s="23" t="s">
        <v>475</v>
      </c>
      <c r="G578" s="23" t="s">
        <v>477</v>
      </c>
      <c r="H578" s="23" t="s">
        <v>710</v>
      </c>
      <c r="I578" s="23" t="s">
        <v>482</v>
      </c>
      <c r="J578" s="23" t="s">
        <v>492</v>
      </c>
      <c r="K578" s="23" t="s">
        <v>1390</v>
      </c>
      <c r="L578" s="23" t="s">
        <v>235</v>
      </c>
      <c r="M578" s="23" t="s">
        <v>138</v>
      </c>
      <c r="N578" s="23" t="s">
        <v>131</v>
      </c>
      <c r="O578" s="23">
        <v>85000</v>
      </c>
      <c r="P578" s="29" t="s">
        <v>879</v>
      </c>
      <c r="Q578" s="23" t="s">
        <v>2793</v>
      </c>
      <c r="R578" s="23"/>
      <c r="S578" s="23" t="s">
        <v>2738</v>
      </c>
    </row>
    <row r="579" spans="1:19" ht="28.8" x14ac:dyDescent="0.3">
      <c r="A579" s="23" t="s">
        <v>2794</v>
      </c>
      <c r="B579" s="23" t="s">
        <v>701</v>
      </c>
      <c r="C579" s="23" t="s">
        <v>702</v>
      </c>
      <c r="D579" s="23" t="s">
        <v>2732</v>
      </c>
      <c r="E579" s="23" t="s">
        <v>706</v>
      </c>
      <c r="F579" s="23" t="s">
        <v>475</v>
      </c>
      <c r="G579" s="23" t="s">
        <v>477</v>
      </c>
      <c r="H579" s="23" t="s">
        <v>710</v>
      </c>
      <c r="I579" s="23" t="s">
        <v>482</v>
      </c>
      <c r="J579" s="23" t="s">
        <v>235</v>
      </c>
      <c r="K579" s="23" t="s">
        <v>319</v>
      </c>
      <c r="L579" s="23" t="s">
        <v>2531</v>
      </c>
      <c r="M579" s="23" t="s">
        <v>878</v>
      </c>
      <c r="N579" s="23" t="s">
        <v>168</v>
      </c>
      <c r="O579" s="23">
        <v>100000</v>
      </c>
      <c r="P579" s="29" t="s">
        <v>879</v>
      </c>
      <c r="Q579" s="23" t="s">
        <v>2795</v>
      </c>
      <c r="R579" s="23"/>
      <c r="S579" s="23" t="s">
        <v>2735</v>
      </c>
    </row>
    <row r="580" spans="1:19" ht="28.8" x14ac:dyDescent="0.3">
      <c r="A580" s="23" t="s">
        <v>2796</v>
      </c>
      <c r="B580" s="23" t="s">
        <v>701</v>
      </c>
      <c r="C580" s="23" t="s">
        <v>702</v>
      </c>
      <c r="D580" s="23" t="s">
        <v>2732</v>
      </c>
      <c r="E580" s="23" t="s">
        <v>706</v>
      </c>
      <c r="F580" s="23" t="s">
        <v>475</v>
      </c>
      <c r="G580" s="23" t="s">
        <v>477</v>
      </c>
      <c r="H580" s="23" t="s">
        <v>710</v>
      </c>
      <c r="I580" s="23" t="s">
        <v>482</v>
      </c>
      <c r="J580" s="23" t="s">
        <v>2531</v>
      </c>
      <c r="K580" s="23" t="s">
        <v>2498</v>
      </c>
      <c r="L580" s="23" t="s">
        <v>179</v>
      </c>
      <c r="M580" s="23" t="s">
        <v>138</v>
      </c>
      <c r="N580" s="23" t="s">
        <v>131</v>
      </c>
      <c r="O580" s="23">
        <v>65000</v>
      </c>
      <c r="P580" s="29" t="s">
        <v>879</v>
      </c>
      <c r="Q580" s="23" t="s">
        <v>2797</v>
      </c>
      <c r="R580" s="23"/>
      <c r="S580" s="23" t="s">
        <v>2766</v>
      </c>
    </row>
    <row r="581" spans="1:19" ht="28.8" x14ac:dyDescent="0.3">
      <c r="A581" s="23" t="s">
        <v>2798</v>
      </c>
      <c r="B581" s="23" t="s">
        <v>701</v>
      </c>
      <c r="C581" s="23" t="s">
        <v>702</v>
      </c>
      <c r="D581" s="23" t="s">
        <v>2732</v>
      </c>
      <c r="E581" s="23" t="s">
        <v>706</v>
      </c>
      <c r="F581" s="23" t="s">
        <v>475</v>
      </c>
      <c r="G581" s="23" t="s">
        <v>477</v>
      </c>
      <c r="H581" s="23" t="s">
        <v>710</v>
      </c>
      <c r="I581" s="23" t="s">
        <v>482</v>
      </c>
      <c r="J581" s="23" t="s">
        <v>179</v>
      </c>
      <c r="K581" s="23" t="s">
        <v>124</v>
      </c>
      <c r="L581" s="23" t="s">
        <v>374</v>
      </c>
      <c r="M581" s="23" t="s">
        <v>138</v>
      </c>
      <c r="N581" s="23" t="s">
        <v>896</v>
      </c>
      <c r="O581" s="23">
        <v>100000</v>
      </c>
      <c r="P581" s="29" t="s">
        <v>879</v>
      </c>
      <c r="Q581" s="23" t="s">
        <v>2440</v>
      </c>
      <c r="R581" s="23"/>
      <c r="S581" s="23" t="s">
        <v>2759</v>
      </c>
    </row>
    <row r="582" spans="1:19" ht="28.8" x14ac:dyDescent="0.3">
      <c r="A582" s="23" t="s">
        <v>2799</v>
      </c>
      <c r="B582" s="23" t="s">
        <v>701</v>
      </c>
      <c r="C582" s="23" t="s">
        <v>702</v>
      </c>
      <c r="D582" s="23" t="s">
        <v>2732</v>
      </c>
      <c r="E582" s="23" t="s">
        <v>706</v>
      </c>
      <c r="F582" s="23" t="s">
        <v>475</v>
      </c>
      <c r="G582" s="23" t="s">
        <v>477</v>
      </c>
      <c r="H582" s="23" t="s">
        <v>710</v>
      </c>
      <c r="I582" s="23" t="s">
        <v>482</v>
      </c>
      <c r="J582" s="23" t="s">
        <v>374</v>
      </c>
      <c r="K582" s="23"/>
      <c r="L582" s="23" t="s">
        <v>2800</v>
      </c>
      <c r="M582" s="23" t="s">
        <v>138</v>
      </c>
      <c r="N582" s="23" t="s">
        <v>896</v>
      </c>
      <c r="O582" s="23">
        <v>0</v>
      </c>
      <c r="P582" s="31" t="s">
        <v>1331</v>
      </c>
      <c r="Q582" s="23" t="s">
        <v>2801</v>
      </c>
      <c r="R582" s="23" t="s">
        <v>2802</v>
      </c>
      <c r="S582" s="23" t="s">
        <v>2253</v>
      </c>
    </row>
    <row r="583" spans="1:19" ht="28.8" x14ac:dyDescent="0.3">
      <c r="A583" s="23" t="s">
        <v>2803</v>
      </c>
      <c r="B583" s="23" t="s">
        <v>713</v>
      </c>
      <c r="C583" s="23" t="s">
        <v>568</v>
      </c>
      <c r="D583" s="23" t="s">
        <v>2804</v>
      </c>
      <c r="E583" s="23" t="s">
        <v>715</v>
      </c>
      <c r="F583" s="23" t="s">
        <v>475</v>
      </c>
      <c r="G583" s="23" t="s">
        <v>88</v>
      </c>
      <c r="H583" s="23" t="s">
        <v>576</v>
      </c>
      <c r="I583" s="23" t="s">
        <v>96</v>
      </c>
      <c r="J583" s="23" t="s">
        <v>2805</v>
      </c>
      <c r="K583" s="23" t="s">
        <v>2419</v>
      </c>
      <c r="L583" s="23" t="s">
        <v>2806</v>
      </c>
      <c r="M583" s="23" t="s">
        <v>138</v>
      </c>
      <c r="N583" s="23" t="s">
        <v>920</v>
      </c>
      <c r="O583" s="23">
        <v>20000</v>
      </c>
      <c r="P583" s="29" t="s">
        <v>879</v>
      </c>
      <c r="Q583" s="23" t="s">
        <v>2807</v>
      </c>
      <c r="R583" s="23"/>
      <c r="S583" s="23" t="s">
        <v>2334</v>
      </c>
    </row>
    <row r="584" spans="1:19" ht="28.8" x14ac:dyDescent="0.3">
      <c r="A584" s="23" t="s">
        <v>2808</v>
      </c>
      <c r="B584" s="23" t="s">
        <v>713</v>
      </c>
      <c r="C584" s="23" t="s">
        <v>568</v>
      </c>
      <c r="D584" s="23" t="s">
        <v>2804</v>
      </c>
      <c r="E584" s="23" t="s">
        <v>715</v>
      </c>
      <c r="F584" s="23" t="s">
        <v>475</v>
      </c>
      <c r="G584" s="23" t="s">
        <v>88</v>
      </c>
      <c r="H584" s="23" t="s">
        <v>576</v>
      </c>
      <c r="I584" s="23" t="s">
        <v>96</v>
      </c>
      <c r="J584" s="23" t="s">
        <v>2806</v>
      </c>
      <c r="K584" s="23" t="s">
        <v>2806</v>
      </c>
      <c r="L584" s="23" t="s">
        <v>2809</v>
      </c>
      <c r="M584" s="23" t="s">
        <v>878</v>
      </c>
      <c r="N584" s="23" t="s">
        <v>131</v>
      </c>
      <c r="O584" s="23">
        <v>20000</v>
      </c>
      <c r="P584" s="29" t="s">
        <v>879</v>
      </c>
      <c r="Q584" s="23" t="s">
        <v>2810</v>
      </c>
      <c r="R584" s="23"/>
      <c r="S584" s="23" t="s">
        <v>2341</v>
      </c>
    </row>
    <row r="585" spans="1:19" ht="28.8" x14ac:dyDescent="0.3">
      <c r="A585" s="23" t="s">
        <v>2811</v>
      </c>
      <c r="B585" s="23" t="s">
        <v>713</v>
      </c>
      <c r="C585" s="23" t="s">
        <v>568</v>
      </c>
      <c r="D585" s="23" t="s">
        <v>2804</v>
      </c>
      <c r="E585" s="23" t="s">
        <v>715</v>
      </c>
      <c r="F585" s="23" t="s">
        <v>475</v>
      </c>
      <c r="G585" s="23" t="s">
        <v>88</v>
      </c>
      <c r="H585" s="23" t="s">
        <v>576</v>
      </c>
      <c r="I585" s="23" t="s">
        <v>96</v>
      </c>
      <c r="J585" s="23" t="s">
        <v>2809</v>
      </c>
      <c r="K585" s="23" t="s">
        <v>1902</v>
      </c>
      <c r="L585" s="23" t="s">
        <v>2812</v>
      </c>
      <c r="M585" s="23" t="s">
        <v>138</v>
      </c>
      <c r="N585" s="23" t="s">
        <v>896</v>
      </c>
      <c r="O585" s="23">
        <v>10000</v>
      </c>
      <c r="P585" s="29" t="s">
        <v>879</v>
      </c>
      <c r="Q585" s="23" t="s">
        <v>2813</v>
      </c>
      <c r="R585" s="23"/>
      <c r="S585" s="23" t="s">
        <v>2341</v>
      </c>
    </row>
    <row r="586" spans="1:19" ht="28.8" x14ac:dyDescent="0.3">
      <c r="A586" s="23" t="s">
        <v>2814</v>
      </c>
      <c r="B586" s="23" t="s">
        <v>713</v>
      </c>
      <c r="C586" s="23" t="s">
        <v>568</v>
      </c>
      <c r="D586" s="23" t="s">
        <v>2804</v>
      </c>
      <c r="E586" s="23" t="s">
        <v>715</v>
      </c>
      <c r="F586" s="23" t="s">
        <v>475</v>
      </c>
      <c r="G586" s="23" t="s">
        <v>88</v>
      </c>
      <c r="H586" s="23" t="s">
        <v>576</v>
      </c>
      <c r="I586" s="23" t="s">
        <v>96</v>
      </c>
      <c r="J586" s="23" t="s">
        <v>2812</v>
      </c>
      <c r="K586" s="23" t="s">
        <v>2815</v>
      </c>
      <c r="L586" s="23" t="s">
        <v>486</v>
      </c>
      <c r="M586" s="23" t="s">
        <v>878</v>
      </c>
      <c r="N586" s="23" t="s">
        <v>219</v>
      </c>
      <c r="O586" s="23">
        <v>15000</v>
      </c>
      <c r="P586" s="29" t="s">
        <v>879</v>
      </c>
      <c r="Q586" s="23" t="s">
        <v>2816</v>
      </c>
      <c r="R586" s="23"/>
      <c r="S586" s="23" t="s">
        <v>2334</v>
      </c>
    </row>
    <row r="587" spans="1:19" ht="28.8" x14ac:dyDescent="0.3">
      <c r="A587" s="23" t="s">
        <v>2817</v>
      </c>
      <c r="B587" s="23" t="s">
        <v>713</v>
      </c>
      <c r="C587" s="23" t="s">
        <v>568</v>
      </c>
      <c r="D587" s="23" t="s">
        <v>2804</v>
      </c>
      <c r="E587" s="23" t="s">
        <v>715</v>
      </c>
      <c r="F587" s="23" t="s">
        <v>475</v>
      </c>
      <c r="G587" s="23" t="s">
        <v>88</v>
      </c>
      <c r="H587" s="23" t="s">
        <v>576</v>
      </c>
      <c r="I587" s="23" t="s">
        <v>96</v>
      </c>
      <c r="J587" s="23" t="s">
        <v>486</v>
      </c>
      <c r="K587" s="23" t="s">
        <v>486</v>
      </c>
      <c r="L587" s="23" t="s">
        <v>270</v>
      </c>
      <c r="M587" s="23" t="s">
        <v>878</v>
      </c>
      <c r="N587" s="23" t="s">
        <v>219</v>
      </c>
      <c r="O587" s="23">
        <v>15000</v>
      </c>
      <c r="P587" s="29" t="s">
        <v>879</v>
      </c>
      <c r="Q587" s="23" t="s">
        <v>2818</v>
      </c>
      <c r="R587" s="23"/>
      <c r="S587" s="23" t="s">
        <v>2325</v>
      </c>
    </row>
    <row r="588" spans="1:19" ht="28.8" x14ac:dyDescent="0.3">
      <c r="A588" s="23" t="s">
        <v>2819</v>
      </c>
      <c r="B588" s="23" t="s">
        <v>713</v>
      </c>
      <c r="C588" s="23" t="s">
        <v>568</v>
      </c>
      <c r="D588" s="23" t="s">
        <v>2804</v>
      </c>
      <c r="E588" s="23" t="s">
        <v>715</v>
      </c>
      <c r="F588" s="23" t="s">
        <v>475</v>
      </c>
      <c r="G588" s="23" t="s">
        <v>88</v>
      </c>
      <c r="H588" s="23" t="s">
        <v>576</v>
      </c>
      <c r="I588" s="23" t="s">
        <v>96</v>
      </c>
      <c r="J588" s="23" t="s">
        <v>270</v>
      </c>
      <c r="K588" s="23"/>
      <c r="L588" s="23" t="s">
        <v>2820</v>
      </c>
      <c r="M588" s="23" t="s">
        <v>878</v>
      </c>
      <c r="N588" s="23" t="s">
        <v>896</v>
      </c>
      <c r="O588" s="23">
        <v>0</v>
      </c>
      <c r="P588" s="30" t="s">
        <v>948</v>
      </c>
      <c r="Q588" s="23" t="s">
        <v>2821</v>
      </c>
      <c r="R588" s="23"/>
      <c r="S588" s="23" t="s">
        <v>950</v>
      </c>
    </row>
    <row r="589" spans="1:19" ht="28.8" x14ac:dyDescent="0.3">
      <c r="A589" s="23" t="s">
        <v>2822</v>
      </c>
      <c r="B589" s="23" t="s">
        <v>721</v>
      </c>
      <c r="C589" s="23" t="s">
        <v>591</v>
      </c>
      <c r="D589" s="23" t="s">
        <v>2823</v>
      </c>
      <c r="E589" s="23" t="s">
        <v>724</v>
      </c>
      <c r="F589" s="23" t="s">
        <v>503</v>
      </c>
      <c r="G589" s="23" t="s">
        <v>88</v>
      </c>
      <c r="H589" s="23" t="s">
        <v>599</v>
      </c>
      <c r="I589" s="23" t="s">
        <v>482</v>
      </c>
      <c r="J589" s="23" t="s">
        <v>2134</v>
      </c>
      <c r="K589" s="23" t="s">
        <v>2761</v>
      </c>
      <c r="L589" s="23" t="s">
        <v>2331</v>
      </c>
      <c r="M589" s="23" t="s">
        <v>2379</v>
      </c>
      <c r="N589" s="23" t="s">
        <v>131</v>
      </c>
      <c r="O589" s="23">
        <v>35000</v>
      </c>
      <c r="P589" s="29" t="s">
        <v>879</v>
      </c>
      <c r="Q589" s="23" t="s">
        <v>2824</v>
      </c>
      <c r="R589" s="23"/>
      <c r="S589" s="23" t="s">
        <v>2388</v>
      </c>
    </row>
    <row r="590" spans="1:19" ht="28.8" x14ac:dyDescent="0.3">
      <c r="A590" s="23" t="s">
        <v>2825</v>
      </c>
      <c r="B590" s="23" t="s">
        <v>721</v>
      </c>
      <c r="C590" s="23" t="s">
        <v>591</v>
      </c>
      <c r="D590" s="23" t="s">
        <v>2823</v>
      </c>
      <c r="E590" s="23" t="s">
        <v>724</v>
      </c>
      <c r="F590" s="23" t="s">
        <v>503</v>
      </c>
      <c r="G590" s="23" t="s">
        <v>88</v>
      </c>
      <c r="H590" s="23" t="s">
        <v>599</v>
      </c>
      <c r="I590" s="23" t="s">
        <v>482</v>
      </c>
      <c r="J590" s="23" t="s">
        <v>1167</v>
      </c>
      <c r="K590" s="23" t="s">
        <v>2065</v>
      </c>
      <c r="L590" s="23" t="s">
        <v>2772</v>
      </c>
      <c r="M590" s="23" t="s">
        <v>902</v>
      </c>
      <c r="N590" s="23" t="s">
        <v>896</v>
      </c>
      <c r="O590" s="23">
        <v>55000</v>
      </c>
      <c r="P590" s="29" t="s">
        <v>879</v>
      </c>
      <c r="Q590" s="23" t="s">
        <v>2826</v>
      </c>
      <c r="R590" s="23"/>
      <c r="S590" s="23" t="s">
        <v>2375</v>
      </c>
    </row>
    <row r="591" spans="1:19" ht="28.8" x14ac:dyDescent="0.3">
      <c r="A591" s="23" t="s">
        <v>2827</v>
      </c>
      <c r="B591" s="23" t="s">
        <v>721</v>
      </c>
      <c r="C591" s="23" t="s">
        <v>591</v>
      </c>
      <c r="D591" s="23" t="s">
        <v>2823</v>
      </c>
      <c r="E591" s="23" t="s">
        <v>724</v>
      </c>
      <c r="F591" s="23" t="s">
        <v>503</v>
      </c>
      <c r="G591" s="23" t="s">
        <v>88</v>
      </c>
      <c r="H591" s="23" t="s">
        <v>599</v>
      </c>
      <c r="I591" s="23" t="s">
        <v>482</v>
      </c>
      <c r="J591" s="23" t="s">
        <v>2828</v>
      </c>
      <c r="K591" s="23" t="s">
        <v>1379</v>
      </c>
      <c r="L591" s="23" t="s">
        <v>2829</v>
      </c>
      <c r="M591" s="23" t="s">
        <v>2379</v>
      </c>
      <c r="N591" s="23" t="s">
        <v>131</v>
      </c>
      <c r="O591" s="23">
        <v>45000</v>
      </c>
      <c r="P591" s="29" t="s">
        <v>879</v>
      </c>
      <c r="Q591" s="23" t="s">
        <v>2830</v>
      </c>
      <c r="R591" s="23"/>
      <c r="S591" s="23" t="s">
        <v>2375</v>
      </c>
    </row>
    <row r="592" spans="1:19" ht="28.8" x14ac:dyDescent="0.3">
      <c r="A592" s="23" t="s">
        <v>2831</v>
      </c>
      <c r="B592" s="23" t="s">
        <v>721</v>
      </c>
      <c r="C592" s="23" t="s">
        <v>591</v>
      </c>
      <c r="D592" s="23" t="s">
        <v>2823</v>
      </c>
      <c r="E592" s="23" t="s">
        <v>724</v>
      </c>
      <c r="F592" s="23" t="s">
        <v>503</v>
      </c>
      <c r="G592" s="23" t="s">
        <v>88</v>
      </c>
      <c r="H592" s="23" t="s">
        <v>599</v>
      </c>
      <c r="I592" s="23" t="s">
        <v>482</v>
      </c>
      <c r="J592" s="23" t="s">
        <v>2829</v>
      </c>
      <c r="K592" s="23" t="s">
        <v>1592</v>
      </c>
      <c r="L592" s="23" t="s">
        <v>2832</v>
      </c>
      <c r="M592" s="23" t="s">
        <v>902</v>
      </c>
      <c r="N592" s="23" t="s">
        <v>920</v>
      </c>
      <c r="O592" s="23">
        <v>75000</v>
      </c>
      <c r="P592" s="29" t="s">
        <v>879</v>
      </c>
      <c r="Q592" s="23" t="s">
        <v>2833</v>
      </c>
      <c r="R592" s="23"/>
      <c r="S592" s="23" t="s">
        <v>2388</v>
      </c>
    </row>
    <row r="593" spans="1:19" ht="28.8" x14ac:dyDescent="0.3">
      <c r="A593" s="23" t="s">
        <v>2834</v>
      </c>
      <c r="B593" s="23" t="s">
        <v>721</v>
      </c>
      <c r="C593" s="23" t="s">
        <v>591</v>
      </c>
      <c r="D593" s="23" t="s">
        <v>2823</v>
      </c>
      <c r="E593" s="23" t="s">
        <v>724</v>
      </c>
      <c r="F593" s="23" t="s">
        <v>503</v>
      </c>
      <c r="G593" s="23" t="s">
        <v>88</v>
      </c>
      <c r="H593" s="23" t="s">
        <v>599</v>
      </c>
      <c r="I593" s="23" t="s">
        <v>482</v>
      </c>
      <c r="J593" s="23" t="s">
        <v>2832</v>
      </c>
      <c r="K593" s="23" t="s">
        <v>2832</v>
      </c>
      <c r="L593" s="23" t="s">
        <v>480</v>
      </c>
      <c r="M593" s="23" t="s">
        <v>2379</v>
      </c>
      <c r="N593" s="23" t="s">
        <v>131</v>
      </c>
      <c r="O593" s="23">
        <v>35000</v>
      </c>
      <c r="P593" s="29" t="s">
        <v>879</v>
      </c>
      <c r="Q593" s="23" t="s">
        <v>2835</v>
      </c>
      <c r="R593" s="23"/>
      <c r="S593" s="23" t="s">
        <v>2388</v>
      </c>
    </row>
    <row r="594" spans="1:19" ht="28.8" x14ac:dyDescent="0.3">
      <c r="A594" s="23" t="s">
        <v>2836</v>
      </c>
      <c r="B594" s="23" t="s">
        <v>721</v>
      </c>
      <c r="C594" s="23" t="s">
        <v>591</v>
      </c>
      <c r="D594" s="23" t="s">
        <v>2823</v>
      </c>
      <c r="E594" s="23" t="s">
        <v>724</v>
      </c>
      <c r="F594" s="23" t="s">
        <v>503</v>
      </c>
      <c r="G594" s="23" t="s">
        <v>88</v>
      </c>
      <c r="H594" s="23" t="s">
        <v>599</v>
      </c>
      <c r="I594" s="23" t="s">
        <v>482</v>
      </c>
      <c r="J594" s="23" t="s">
        <v>480</v>
      </c>
      <c r="K594" s="23" t="s">
        <v>480</v>
      </c>
      <c r="L594" s="23" t="s">
        <v>1599</v>
      </c>
      <c r="M594" s="23" t="s">
        <v>2379</v>
      </c>
      <c r="N594" s="23" t="s">
        <v>219</v>
      </c>
      <c r="O594" s="23">
        <v>55000</v>
      </c>
      <c r="P594" s="29" t="s">
        <v>879</v>
      </c>
      <c r="Q594" s="23" t="s">
        <v>2837</v>
      </c>
      <c r="R594" s="23"/>
      <c r="S594" s="23" t="s">
        <v>2375</v>
      </c>
    </row>
    <row r="595" spans="1:19" ht="28.8" x14ac:dyDescent="0.3">
      <c r="A595" s="23" t="s">
        <v>2838</v>
      </c>
      <c r="B595" s="23" t="s">
        <v>721</v>
      </c>
      <c r="C595" s="23" t="s">
        <v>591</v>
      </c>
      <c r="D595" s="23" t="s">
        <v>2823</v>
      </c>
      <c r="E595" s="23" t="s">
        <v>724</v>
      </c>
      <c r="F595" s="23" t="s">
        <v>503</v>
      </c>
      <c r="G595" s="23" t="s">
        <v>88</v>
      </c>
      <c r="H595" s="23" t="s">
        <v>599</v>
      </c>
      <c r="I595" s="23" t="s">
        <v>482</v>
      </c>
      <c r="J595" s="23" t="s">
        <v>1599</v>
      </c>
      <c r="K595" s="23" t="s">
        <v>1599</v>
      </c>
      <c r="L595" s="23" t="s">
        <v>178</v>
      </c>
      <c r="M595" s="23" t="s">
        <v>902</v>
      </c>
      <c r="N595" s="23" t="s">
        <v>920</v>
      </c>
      <c r="O595" s="23">
        <v>75000</v>
      </c>
      <c r="P595" s="29" t="s">
        <v>879</v>
      </c>
      <c r="Q595" s="23" t="s">
        <v>2839</v>
      </c>
      <c r="R595" s="23"/>
      <c r="S595" s="23" t="s">
        <v>2381</v>
      </c>
    </row>
    <row r="596" spans="1:19" ht="28.8" x14ac:dyDescent="0.3">
      <c r="A596" s="23" t="s">
        <v>2840</v>
      </c>
      <c r="B596" s="23" t="s">
        <v>721</v>
      </c>
      <c r="C596" s="23" t="s">
        <v>591</v>
      </c>
      <c r="D596" s="23" t="s">
        <v>2823</v>
      </c>
      <c r="E596" s="23" t="s">
        <v>724</v>
      </c>
      <c r="F596" s="23" t="s">
        <v>503</v>
      </c>
      <c r="G596" s="23" t="s">
        <v>88</v>
      </c>
      <c r="H596" s="23" t="s">
        <v>599</v>
      </c>
      <c r="I596" s="23" t="s">
        <v>482</v>
      </c>
      <c r="J596" s="23" t="s">
        <v>178</v>
      </c>
      <c r="K596" s="23" t="s">
        <v>178</v>
      </c>
      <c r="L596" s="23" t="s">
        <v>2841</v>
      </c>
      <c r="M596" s="23" t="s">
        <v>2379</v>
      </c>
      <c r="N596" s="23" t="s">
        <v>131</v>
      </c>
      <c r="O596" s="23">
        <v>45000</v>
      </c>
      <c r="P596" s="29" t="s">
        <v>879</v>
      </c>
      <c r="Q596" s="23" t="s">
        <v>2842</v>
      </c>
      <c r="R596" s="23"/>
      <c r="S596" s="23" t="s">
        <v>2381</v>
      </c>
    </row>
    <row r="597" spans="1:19" ht="28.8" x14ac:dyDescent="0.3">
      <c r="A597" s="23" t="s">
        <v>2843</v>
      </c>
      <c r="B597" s="23" t="s">
        <v>721</v>
      </c>
      <c r="C597" s="23" t="s">
        <v>591</v>
      </c>
      <c r="D597" s="23" t="s">
        <v>2823</v>
      </c>
      <c r="E597" s="23" t="s">
        <v>724</v>
      </c>
      <c r="F597" s="23" t="s">
        <v>503</v>
      </c>
      <c r="G597" s="23" t="s">
        <v>88</v>
      </c>
      <c r="H597" s="23" t="s">
        <v>599</v>
      </c>
      <c r="I597" s="23" t="s">
        <v>482</v>
      </c>
      <c r="J597" s="23" t="s">
        <v>2841</v>
      </c>
      <c r="K597" s="23" t="s">
        <v>1383</v>
      </c>
      <c r="L597" s="23" t="s">
        <v>2844</v>
      </c>
      <c r="M597" s="23" t="s">
        <v>902</v>
      </c>
      <c r="N597" s="23" t="s">
        <v>168</v>
      </c>
      <c r="O597" s="23">
        <v>45000</v>
      </c>
      <c r="P597" s="29" t="s">
        <v>879</v>
      </c>
      <c r="Q597" s="23" t="s">
        <v>2845</v>
      </c>
      <c r="R597" s="23"/>
      <c r="S597" s="23" t="s">
        <v>2375</v>
      </c>
    </row>
    <row r="598" spans="1:19" ht="28.8" x14ac:dyDescent="0.3">
      <c r="A598" s="23" t="s">
        <v>2846</v>
      </c>
      <c r="B598" s="23" t="s">
        <v>721</v>
      </c>
      <c r="C598" s="23" t="s">
        <v>591</v>
      </c>
      <c r="D598" s="23" t="s">
        <v>2823</v>
      </c>
      <c r="E598" s="23" t="s">
        <v>724</v>
      </c>
      <c r="F598" s="23" t="s">
        <v>503</v>
      </c>
      <c r="G598" s="23" t="s">
        <v>88</v>
      </c>
      <c r="H598" s="23" t="s">
        <v>599</v>
      </c>
      <c r="I598" s="23" t="s">
        <v>482</v>
      </c>
      <c r="J598" s="23" t="s">
        <v>2844</v>
      </c>
      <c r="K598" s="23" t="s">
        <v>1178</v>
      </c>
      <c r="L598" s="23" t="s">
        <v>2847</v>
      </c>
      <c r="M598" s="23" t="s">
        <v>2379</v>
      </c>
      <c r="N598" s="23" t="s">
        <v>131</v>
      </c>
      <c r="O598" s="23">
        <v>55000</v>
      </c>
      <c r="P598" s="29" t="s">
        <v>879</v>
      </c>
      <c r="Q598" s="23" t="s">
        <v>2848</v>
      </c>
      <c r="R598" s="23"/>
      <c r="S598" s="23" t="s">
        <v>2381</v>
      </c>
    </row>
    <row r="599" spans="1:19" ht="28.8" x14ac:dyDescent="0.3">
      <c r="A599" s="23" t="s">
        <v>2849</v>
      </c>
      <c r="B599" s="23" t="s">
        <v>721</v>
      </c>
      <c r="C599" s="23" t="s">
        <v>591</v>
      </c>
      <c r="D599" s="23" t="s">
        <v>2823</v>
      </c>
      <c r="E599" s="23" t="s">
        <v>724</v>
      </c>
      <c r="F599" s="23" t="s">
        <v>503</v>
      </c>
      <c r="G599" s="23" t="s">
        <v>88</v>
      </c>
      <c r="H599" s="23" t="s">
        <v>599</v>
      </c>
      <c r="I599" s="23" t="s">
        <v>482</v>
      </c>
      <c r="J599" s="23" t="s">
        <v>2847</v>
      </c>
      <c r="K599" s="23" t="s">
        <v>2790</v>
      </c>
      <c r="L599" s="23" t="s">
        <v>2240</v>
      </c>
      <c r="M599" s="23" t="s">
        <v>2379</v>
      </c>
      <c r="N599" s="23" t="s">
        <v>929</v>
      </c>
      <c r="O599" s="23">
        <v>45000</v>
      </c>
      <c r="P599" s="29" t="s">
        <v>879</v>
      </c>
      <c r="Q599" s="23" t="s">
        <v>2850</v>
      </c>
      <c r="R599" s="23"/>
      <c r="S599" s="23" t="s">
        <v>2381</v>
      </c>
    </row>
    <row r="600" spans="1:19" ht="28.8" x14ac:dyDescent="0.3">
      <c r="A600" s="23" t="s">
        <v>2851</v>
      </c>
      <c r="B600" s="23" t="s">
        <v>721</v>
      </c>
      <c r="C600" s="23" t="s">
        <v>591</v>
      </c>
      <c r="D600" s="23" t="s">
        <v>2823</v>
      </c>
      <c r="E600" s="23" t="s">
        <v>724</v>
      </c>
      <c r="F600" s="23" t="s">
        <v>503</v>
      </c>
      <c r="G600" s="23" t="s">
        <v>88</v>
      </c>
      <c r="H600" s="23" t="s">
        <v>599</v>
      </c>
      <c r="I600" s="23" t="s">
        <v>482</v>
      </c>
      <c r="J600" s="23" t="s">
        <v>2240</v>
      </c>
      <c r="K600" s="23" t="s">
        <v>1220</v>
      </c>
      <c r="L600" s="23" t="s">
        <v>319</v>
      </c>
      <c r="M600" s="23" t="s">
        <v>878</v>
      </c>
      <c r="N600" s="23" t="s">
        <v>896</v>
      </c>
      <c r="O600" s="23">
        <v>55000</v>
      </c>
      <c r="P600" s="29" t="s">
        <v>879</v>
      </c>
      <c r="Q600" s="23" t="s">
        <v>2852</v>
      </c>
      <c r="R600" s="23"/>
      <c r="S600" s="23" t="s">
        <v>2381</v>
      </c>
    </row>
    <row r="601" spans="1:19" ht="28.8" x14ac:dyDescent="0.3">
      <c r="A601" s="23" t="s">
        <v>2853</v>
      </c>
      <c r="B601" s="23" t="s">
        <v>721</v>
      </c>
      <c r="C601" s="23" t="s">
        <v>591</v>
      </c>
      <c r="D601" s="23" t="s">
        <v>2823</v>
      </c>
      <c r="E601" s="23" t="s">
        <v>724</v>
      </c>
      <c r="F601" s="23" t="s">
        <v>503</v>
      </c>
      <c r="G601" s="23" t="s">
        <v>88</v>
      </c>
      <c r="H601" s="23" t="s">
        <v>599</v>
      </c>
      <c r="I601" s="23" t="s">
        <v>482</v>
      </c>
      <c r="J601" s="23" t="s">
        <v>319</v>
      </c>
      <c r="K601" s="23" t="s">
        <v>235</v>
      </c>
      <c r="L601" s="23" t="s">
        <v>496</v>
      </c>
      <c r="M601" s="23" t="s">
        <v>2379</v>
      </c>
      <c r="N601" s="23" t="s">
        <v>929</v>
      </c>
      <c r="O601" s="23">
        <v>75000</v>
      </c>
      <c r="P601" s="29" t="s">
        <v>879</v>
      </c>
      <c r="Q601" s="23" t="s">
        <v>2854</v>
      </c>
      <c r="R601" s="23"/>
      <c r="S601" s="23" t="s">
        <v>2372</v>
      </c>
    </row>
    <row r="602" spans="1:19" ht="28.8" x14ac:dyDescent="0.3">
      <c r="A602" s="23" t="s">
        <v>2855</v>
      </c>
      <c r="B602" s="23" t="s">
        <v>721</v>
      </c>
      <c r="C602" s="23" t="s">
        <v>591</v>
      </c>
      <c r="D602" s="23" t="s">
        <v>2823</v>
      </c>
      <c r="E602" s="23" t="s">
        <v>724</v>
      </c>
      <c r="F602" s="23" t="s">
        <v>503</v>
      </c>
      <c r="G602" s="23" t="s">
        <v>88</v>
      </c>
      <c r="H602" s="23" t="s">
        <v>599</v>
      </c>
      <c r="I602" s="23" t="s">
        <v>482</v>
      </c>
      <c r="J602" s="23" t="s">
        <v>496</v>
      </c>
      <c r="K602" s="23" t="s">
        <v>262</v>
      </c>
      <c r="L602" s="23" t="s">
        <v>287</v>
      </c>
      <c r="M602" s="23" t="s">
        <v>2379</v>
      </c>
      <c r="N602" s="23" t="s">
        <v>920</v>
      </c>
      <c r="O602" s="23">
        <v>55000</v>
      </c>
      <c r="P602" s="29" t="s">
        <v>879</v>
      </c>
      <c r="Q602" s="23" t="s">
        <v>2856</v>
      </c>
      <c r="R602" s="23"/>
      <c r="S602" s="23" t="s">
        <v>2375</v>
      </c>
    </row>
    <row r="603" spans="1:19" ht="28.8" x14ac:dyDescent="0.3">
      <c r="A603" s="23" t="s">
        <v>2857</v>
      </c>
      <c r="B603" s="23" t="s">
        <v>721</v>
      </c>
      <c r="C603" s="23" t="s">
        <v>591</v>
      </c>
      <c r="D603" s="23" t="s">
        <v>2823</v>
      </c>
      <c r="E603" s="23" t="s">
        <v>724</v>
      </c>
      <c r="F603" s="23" t="s">
        <v>503</v>
      </c>
      <c r="G603" s="23" t="s">
        <v>88</v>
      </c>
      <c r="H603" s="23" t="s">
        <v>599</v>
      </c>
      <c r="I603" s="23" t="s">
        <v>482</v>
      </c>
      <c r="J603" s="23" t="s">
        <v>287</v>
      </c>
      <c r="K603" s="23" t="s">
        <v>229</v>
      </c>
      <c r="L603" s="23" t="s">
        <v>728</v>
      </c>
      <c r="M603" s="23" t="s">
        <v>902</v>
      </c>
      <c r="N603" s="23" t="s">
        <v>219</v>
      </c>
      <c r="O603" s="23">
        <v>55000</v>
      </c>
      <c r="P603" s="29" t="s">
        <v>879</v>
      </c>
      <c r="Q603" s="23" t="s">
        <v>2858</v>
      </c>
      <c r="R603" s="23"/>
      <c r="S603" s="23" t="s">
        <v>2372</v>
      </c>
    </row>
    <row r="604" spans="1:19" ht="28.8" x14ac:dyDescent="0.3">
      <c r="A604" s="23" t="s">
        <v>2859</v>
      </c>
      <c r="B604" s="23" t="s">
        <v>721</v>
      </c>
      <c r="C604" s="23" t="s">
        <v>591</v>
      </c>
      <c r="D604" s="23" t="s">
        <v>2823</v>
      </c>
      <c r="E604" s="23" t="s">
        <v>724</v>
      </c>
      <c r="F604" s="23" t="s">
        <v>503</v>
      </c>
      <c r="G604" s="23" t="s">
        <v>88</v>
      </c>
      <c r="H604" s="23" t="s">
        <v>599</v>
      </c>
      <c r="I604" s="23" t="s">
        <v>482</v>
      </c>
      <c r="J604" s="23" t="s">
        <v>728</v>
      </c>
      <c r="K604" s="23" t="s">
        <v>728</v>
      </c>
      <c r="L604" s="23" t="s">
        <v>2860</v>
      </c>
      <c r="M604" s="23" t="s">
        <v>878</v>
      </c>
      <c r="N604" s="23" t="s">
        <v>219</v>
      </c>
      <c r="O604" s="23">
        <v>75000</v>
      </c>
      <c r="P604" s="32" t="s">
        <v>1831</v>
      </c>
      <c r="Q604" s="23" t="s">
        <v>2861</v>
      </c>
      <c r="R604" s="23" t="s">
        <v>2862</v>
      </c>
      <c r="S604" s="23" t="s">
        <v>2863</v>
      </c>
    </row>
  </sheetData>
  <autoFilter ref="A1:S604" xr:uid="{00000000-0009-0000-0000-000006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Lists!$E$2:$E$7</xm:f>
          </x14:formula1>
          <xm:sqref>G2:G201</xm:sqref>
        </x14:dataValidation>
        <x14:dataValidation type="list" allowBlank="1" xr:uid="{00000000-0002-0000-0600-000001000000}">
          <x14:formula1>
            <xm:f>Lists!$C$2:$C$9</xm:f>
          </x14:formula1>
          <xm:sqref>L2:L201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1"/>
  <sheetViews>
    <sheetView tabSelected="1" workbookViewId="0">
      <pane ySplit="1" topLeftCell="A5" activePane="bottomLeft" state="frozen"/>
      <selection pane="bottomLeft" activeCell="B24" sqref="B24"/>
    </sheetView>
  </sheetViews>
  <sheetFormatPr defaultRowHeight="14.4" x14ac:dyDescent="0.3"/>
  <cols>
    <col min="1" max="1" width="13" customWidth="1"/>
    <col min="2" max="2" width="33" customWidth="1"/>
    <col min="3" max="3" width="14" customWidth="1"/>
    <col min="4" max="5" width="26" customWidth="1"/>
    <col min="6" max="6" width="29" customWidth="1"/>
    <col min="7" max="7" width="20" customWidth="1"/>
    <col min="8" max="8" width="18" customWidth="1"/>
    <col min="9" max="9" width="16" customWidth="1"/>
    <col min="10" max="10" width="14" customWidth="1"/>
    <col min="11" max="11" width="17" customWidth="1"/>
    <col min="12" max="12" width="21" customWidth="1"/>
    <col min="13" max="13" width="18" customWidth="1"/>
    <col min="14" max="14" width="19" customWidth="1"/>
    <col min="15" max="15" width="10" customWidth="1"/>
  </cols>
  <sheetData>
    <row r="1" spans="1:15" x14ac:dyDescent="0.3">
      <c r="A1" s="19" t="s">
        <v>2864</v>
      </c>
      <c r="B1" s="19" t="s">
        <v>2865</v>
      </c>
      <c r="C1" s="19" t="s">
        <v>2866</v>
      </c>
      <c r="D1" s="19" t="s">
        <v>2867</v>
      </c>
      <c r="E1" s="19" t="s">
        <v>2868</v>
      </c>
      <c r="F1" s="19" t="s">
        <v>2869</v>
      </c>
      <c r="G1" s="19" t="s">
        <v>2870</v>
      </c>
      <c r="H1" s="19" t="s">
        <v>2871</v>
      </c>
      <c r="I1" s="19" t="s">
        <v>53</v>
      </c>
      <c r="J1" s="19" t="s">
        <v>2872</v>
      </c>
      <c r="K1" s="19" t="s">
        <v>69</v>
      </c>
      <c r="L1" s="19" t="s">
        <v>2873</v>
      </c>
      <c r="M1" s="19" t="s">
        <v>2874</v>
      </c>
      <c r="N1" s="19" t="s">
        <v>2875</v>
      </c>
      <c r="O1" s="19" t="s">
        <v>78</v>
      </c>
    </row>
    <row r="2" spans="1:15" x14ac:dyDescent="0.3">
      <c r="A2" s="20" t="s">
        <v>2876</v>
      </c>
      <c r="B2" s="20" t="s">
        <v>104</v>
      </c>
      <c r="C2" s="20" t="s">
        <v>2877</v>
      </c>
      <c r="D2" s="20" t="s">
        <v>2878</v>
      </c>
      <c r="E2" s="20" t="s">
        <v>2879</v>
      </c>
      <c r="F2" s="20" t="s">
        <v>2880</v>
      </c>
      <c r="G2" s="20"/>
      <c r="H2" s="20">
        <v>25</v>
      </c>
      <c r="I2" s="21" t="s">
        <v>1444</v>
      </c>
      <c r="J2" s="21" t="s">
        <v>2292</v>
      </c>
      <c r="K2" s="20" t="s">
        <v>844</v>
      </c>
      <c r="L2" s="22">
        <v>2250000</v>
      </c>
      <c r="M2" s="20" t="s">
        <v>2881</v>
      </c>
      <c r="N2" s="21" t="s">
        <v>2450</v>
      </c>
      <c r="O2" s="20"/>
    </row>
    <row r="3" spans="1:15" x14ac:dyDescent="0.3">
      <c r="A3" s="20" t="s">
        <v>2882</v>
      </c>
      <c r="B3" s="20" t="s">
        <v>2883</v>
      </c>
      <c r="C3" s="20" t="s">
        <v>2884</v>
      </c>
      <c r="D3" s="20" t="s">
        <v>2878</v>
      </c>
      <c r="E3" s="20" t="s">
        <v>2885</v>
      </c>
      <c r="F3" s="20" t="s">
        <v>87</v>
      </c>
      <c r="G3" s="20"/>
      <c r="H3" s="20">
        <v>15</v>
      </c>
      <c r="I3" s="21" t="s">
        <v>2886</v>
      </c>
      <c r="J3" s="21" t="s">
        <v>2887</v>
      </c>
      <c r="K3" s="20" t="s">
        <v>105</v>
      </c>
      <c r="L3" s="22">
        <v>4500000</v>
      </c>
      <c r="M3" s="20" t="s">
        <v>2888</v>
      </c>
      <c r="N3" s="21" t="s">
        <v>2889</v>
      </c>
      <c r="O3" s="20"/>
    </row>
    <row r="4" spans="1:15" x14ac:dyDescent="0.3">
      <c r="A4" s="20" t="s">
        <v>2890</v>
      </c>
      <c r="B4" s="20" t="s">
        <v>2891</v>
      </c>
      <c r="C4" s="20" t="s">
        <v>2884</v>
      </c>
      <c r="D4" s="20" t="s">
        <v>2878</v>
      </c>
      <c r="E4" s="20" t="s">
        <v>2892</v>
      </c>
      <c r="F4" s="20" t="s">
        <v>87</v>
      </c>
      <c r="G4" s="20"/>
      <c r="H4" s="20">
        <v>10</v>
      </c>
      <c r="I4" s="21" t="s">
        <v>2893</v>
      </c>
      <c r="J4" s="21" t="s">
        <v>566</v>
      </c>
      <c r="K4" s="20" t="s">
        <v>844</v>
      </c>
      <c r="L4" s="22">
        <v>3800000</v>
      </c>
      <c r="M4" s="20" t="s">
        <v>2888</v>
      </c>
      <c r="N4" s="21" t="s">
        <v>729</v>
      </c>
      <c r="O4" s="20"/>
    </row>
    <row r="5" spans="1:15" x14ac:dyDescent="0.3">
      <c r="A5" s="20" t="s">
        <v>2894</v>
      </c>
      <c r="B5" s="20" t="s">
        <v>2895</v>
      </c>
      <c r="C5" s="20" t="s">
        <v>2896</v>
      </c>
      <c r="D5" s="20" t="s">
        <v>2878</v>
      </c>
      <c r="E5" s="20" t="s">
        <v>2897</v>
      </c>
      <c r="F5" s="20" t="s">
        <v>87</v>
      </c>
      <c r="G5" s="20"/>
      <c r="H5" s="20">
        <v>8</v>
      </c>
      <c r="I5" s="21" t="s">
        <v>2898</v>
      </c>
      <c r="J5" s="21" t="s">
        <v>1330</v>
      </c>
      <c r="K5" s="20" t="s">
        <v>105</v>
      </c>
      <c r="L5" s="22">
        <v>960000</v>
      </c>
      <c r="M5" s="20" t="s">
        <v>2899</v>
      </c>
      <c r="N5" s="21" t="s">
        <v>2900</v>
      </c>
      <c r="O5" s="20"/>
    </row>
    <row r="6" spans="1:15" x14ac:dyDescent="0.3">
      <c r="A6" s="20" t="s">
        <v>2901</v>
      </c>
      <c r="B6" s="20" t="s">
        <v>2902</v>
      </c>
      <c r="C6" s="20" t="s">
        <v>2903</v>
      </c>
      <c r="D6" s="20" t="s">
        <v>2904</v>
      </c>
      <c r="E6" s="20" t="s">
        <v>2905</v>
      </c>
      <c r="F6" s="20" t="s">
        <v>87</v>
      </c>
      <c r="G6" s="20"/>
      <c r="H6" s="20">
        <v>5</v>
      </c>
      <c r="I6" s="21" t="s">
        <v>386</v>
      </c>
      <c r="J6" s="21" t="s">
        <v>2906</v>
      </c>
      <c r="K6" s="20" t="s">
        <v>105</v>
      </c>
      <c r="L6" s="22">
        <v>2500000</v>
      </c>
      <c r="M6" s="20" t="s">
        <v>2881</v>
      </c>
      <c r="N6" s="21" t="s">
        <v>160</v>
      </c>
      <c r="O6" s="20"/>
    </row>
    <row r="7" spans="1:15" x14ac:dyDescent="0.3">
      <c r="A7" s="20" t="s">
        <v>2907</v>
      </c>
      <c r="B7" s="20" t="s">
        <v>2908</v>
      </c>
      <c r="C7" s="20" t="s">
        <v>2909</v>
      </c>
      <c r="D7" s="20" t="s">
        <v>2878</v>
      </c>
      <c r="E7" s="20" t="s">
        <v>2910</v>
      </c>
      <c r="F7" s="20" t="s">
        <v>861</v>
      </c>
      <c r="G7" s="20"/>
      <c r="H7" s="20">
        <v>3</v>
      </c>
      <c r="I7" s="21" t="s">
        <v>2031</v>
      </c>
      <c r="J7" s="21" t="s">
        <v>2911</v>
      </c>
      <c r="K7" s="20" t="s">
        <v>105</v>
      </c>
      <c r="L7" s="22">
        <v>720000</v>
      </c>
      <c r="M7" s="20" t="s">
        <v>2899</v>
      </c>
      <c r="N7" s="21" t="s">
        <v>2889</v>
      </c>
      <c r="O7" s="20"/>
    </row>
    <row r="8" spans="1:15" x14ac:dyDescent="0.3">
      <c r="A8" s="20" t="s">
        <v>2912</v>
      </c>
      <c r="B8" s="20" t="s">
        <v>102</v>
      </c>
      <c r="C8" s="20" t="s">
        <v>2913</v>
      </c>
      <c r="D8" s="20" t="s">
        <v>2878</v>
      </c>
      <c r="E8" s="20" t="s">
        <v>2914</v>
      </c>
      <c r="F8" s="20" t="s">
        <v>476</v>
      </c>
      <c r="G8" s="20"/>
      <c r="H8" s="20">
        <v>30</v>
      </c>
      <c r="I8" s="21" t="s">
        <v>1375</v>
      </c>
      <c r="J8" s="21" t="s">
        <v>2445</v>
      </c>
      <c r="K8" s="20" t="s">
        <v>844</v>
      </c>
      <c r="L8" s="22">
        <v>450000</v>
      </c>
      <c r="M8" s="20" t="s">
        <v>2881</v>
      </c>
      <c r="N8" s="21" t="s">
        <v>94</v>
      </c>
      <c r="O8" s="20"/>
    </row>
    <row r="9" spans="1:15" x14ac:dyDescent="0.3">
      <c r="A9" s="20" t="s">
        <v>2915</v>
      </c>
      <c r="B9" s="20" t="s">
        <v>2916</v>
      </c>
      <c r="C9" s="20" t="s">
        <v>2917</v>
      </c>
      <c r="D9" s="20" t="s">
        <v>2918</v>
      </c>
      <c r="E9" s="20" t="s">
        <v>2919</v>
      </c>
      <c r="F9" s="20" t="s">
        <v>851</v>
      </c>
      <c r="G9" s="20"/>
      <c r="H9" s="20">
        <v>3</v>
      </c>
      <c r="I9" s="21" t="s">
        <v>2277</v>
      </c>
      <c r="J9" s="21" t="s">
        <v>2920</v>
      </c>
      <c r="K9" s="20" t="s">
        <v>105</v>
      </c>
      <c r="L9" s="22">
        <v>350000</v>
      </c>
      <c r="M9" s="20" t="s">
        <v>2899</v>
      </c>
      <c r="N9" s="21" t="s">
        <v>548</v>
      </c>
      <c r="O9" s="20"/>
    </row>
    <row r="10" spans="1:15" x14ac:dyDescent="0.3">
      <c r="A10" s="20" t="s">
        <v>2921</v>
      </c>
      <c r="B10" s="20" t="s">
        <v>2922</v>
      </c>
      <c r="C10" s="20" t="s">
        <v>2923</v>
      </c>
      <c r="D10" s="20" t="s">
        <v>2878</v>
      </c>
      <c r="E10" s="20" t="s">
        <v>2924</v>
      </c>
      <c r="F10" s="20" t="s">
        <v>859</v>
      </c>
      <c r="G10" s="20"/>
      <c r="H10" s="20">
        <v>2</v>
      </c>
      <c r="I10" s="21" t="s">
        <v>2581</v>
      </c>
      <c r="J10" s="21" t="s">
        <v>2925</v>
      </c>
      <c r="K10" s="20" t="s">
        <v>105</v>
      </c>
      <c r="L10" s="22">
        <v>280000</v>
      </c>
      <c r="M10" s="20" t="s">
        <v>2899</v>
      </c>
      <c r="N10" s="21" t="s">
        <v>187</v>
      </c>
      <c r="O10" s="20"/>
    </row>
    <row r="11" spans="1:15" x14ac:dyDescent="0.3">
      <c r="A11" s="20" t="s">
        <v>2926</v>
      </c>
      <c r="B11" s="20" t="s">
        <v>2927</v>
      </c>
      <c r="C11" s="20" t="s">
        <v>2928</v>
      </c>
      <c r="D11" s="20" t="s">
        <v>2878</v>
      </c>
      <c r="E11" s="20" t="s">
        <v>2929</v>
      </c>
      <c r="F11" s="20" t="s">
        <v>87</v>
      </c>
      <c r="G11" s="20"/>
      <c r="H11" s="20">
        <v>5</v>
      </c>
      <c r="I11" s="21" t="s">
        <v>2616</v>
      </c>
      <c r="J11" s="21" t="s">
        <v>647</v>
      </c>
      <c r="K11" s="20" t="s">
        <v>844</v>
      </c>
      <c r="L11" s="22">
        <v>1200000</v>
      </c>
      <c r="M11" s="20" t="s">
        <v>2899</v>
      </c>
      <c r="N11" s="21" t="s">
        <v>656</v>
      </c>
      <c r="O11" s="20"/>
    </row>
    <row r="12" spans="1:15" x14ac:dyDescent="0.3">
      <c r="A12" s="20" t="s">
        <v>2930</v>
      </c>
      <c r="B12" s="20" t="s">
        <v>2931</v>
      </c>
      <c r="C12" s="20" t="s">
        <v>2877</v>
      </c>
      <c r="D12" s="20" t="s">
        <v>2918</v>
      </c>
      <c r="E12" s="20" t="s">
        <v>2932</v>
      </c>
      <c r="F12" s="20" t="s">
        <v>476</v>
      </c>
      <c r="G12" s="20"/>
      <c r="H12" s="20">
        <v>2</v>
      </c>
      <c r="I12" s="21" t="s">
        <v>1741</v>
      </c>
      <c r="J12" s="21" t="s">
        <v>2933</v>
      </c>
      <c r="K12" s="20" t="s">
        <v>105</v>
      </c>
      <c r="L12" s="22">
        <v>1800000</v>
      </c>
      <c r="M12" s="20" t="s">
        <v>2881</v>
      </c>
      <c r="N12" s="21" t="s">
        <v>212</v>
      </c>
      <c r="O12" s="20"/>
    </row>
    <row r="13" spans="1:15" x14ac:dyDescent="0.3">
      <c r="A13" s="20" t="s">
        <v>2934</v>
      </c>
      <c r="B13" s="20" t="s">
        <v>2935</v>
      </c>
      <c r="C13" s="20" t="s">
        <v>2936</v>
      </c>
      <c r="D13" s="20" t="s">
        <v>2878</v>
      </c>
      <c r="E13" s="20" t="s">
        <v>2937</v>
      </c>
      <c r="F13" s="20" t="s">
        <v>476</v>
      </c>
      <c r="G13" s="20"/>
      <c r="H13" s="20">
        <v>1</v>
      </c>
      <c r="I13" s="21" t="s">
        <v>2938</v>
      </c>
      <c r="J13" s="21" t="s">
        <v>2939</v>
      </c>
      <c r="K13" s="20" t="s">
        <v>105</v>
      </c>
      <c r="L13" s="22">
        <v>450000</v>
      </c>
      <c r="M13" s="20" t="s">
        <v>2881</v>
      </c>
      <c r="N13" s="21" t="s">
        <v>262</v>
      </c>
      <c r="O13" s="20"/>
    </row>
    <row r="14" spans="1:15" x14ac:dyDescent="0.3">
      <c r="A14" s="20" t="s">
        <v>2940</v>
      </c>
      <c r="B14" s="20" t="s">
        <v>2941</v>
      </c>
      <c r="C14" s="20" t="s">
        <v>704</v>
      </c>
      <c r="D14" s="20" t="s">
        <v>2878</v>
      </c>
      <c r="E14" s="20" t="s">
        <v>2942</v>
      </c>
      <c r="F14" s="20" t="s">
        <v>476</v>
      </c>
      <c r="G14" s="20"/>
      <c r="H14" s="20">
        <v>1</v>
      </c>
      <c r="I14" s="21" t="s">
        <v>2943</v>
      </c>
      <c r="J14" s="21" t="s">
        <v>666</v>
      </c>
      <c r="K14" s="20" t="s">
        <v>127</v>
      </c>
      <c r="L14" s="22">
        <v>380000</v>
      </c>
      <c r="M14" s="20" t="s">
        <v>2881</v>
      </c>
      <c r="N14" s="21" t="s">
        <v>2944</v>
      </c>
      <c r="O14" s="20"/>
    </row>
    <row r="15" spans="1:15" x14ac:dyDescent="0.3">
      <c r="A15" s="20" t="s">
        <v>2945</v>
      </c>
      <c r="B15" s="20" t="s">
        <v>2946</v>
      </c>
      <c r="C15" s="20" t="s">
        <v>569</v>
      </c>
      <c r="D15" s="20" t="s">
        <v>2947</v>
      </c>
      <c r="E15" s="20" t="s">
        <v>2948</v>
      </c>
      <c r="F15" s="20" t="s">
        <v>476</v>
      </c>
      <c r="G15" s="20"/>
      <c r="H15" s="20">
        <v>1</v>
      </c>
      <c r="I15" s="21" t="s">
        <v>2036</v>
      </c>
      <c r="J15" s="21" t="s">
        <v>2949</v>
      </c>
      <c r="K15" s="20" t="s">
        <v>105</v>
      </c>
      <c r="L15" s="22">
        <v>0</v>
      </c>
      <c r="M15" s="20" t="s">
        <v>2881</v>
      </c>
      <c r="N15" s="21" t="s">
        <v>336</v>
      </c>
      <c r="O15" s="20"/>
    </row>
    <row r="16" spans="1:15" x14ac:dyDescent="0.3">
      <c r="A16" s="20" t="s">
        <v>2950</v>
      </c>
      <c r="B16" s="20" t="s">
        <v>2951</v>
      </c>
      <c r="C16" s="20" t="s">
        <v>2952</v>
      </c>
      <c r="D16" s="20" t="s">
        <v>2878</v>
      </c>
      <c r="E16" s="20" t="s">
        <v>2953</v>
      </c>
      <c r="F16" s="20" t="s">
        <v>2880</v>
      </c>
      <c r="G16" s="20"/>
      <c r="H16" s="20">
        <v>30</v>
      </c>
      <c r="I16" s="21" t="s">
        <v>1801</v>
      </c>
      <c r="J16" s="21" t="s">
        <v>2954</v>
      </c>
      <c r="K16" s="20" t="s">
        <v>105</v>
      </c>
      <c r="L16" s="22">
        <v>540000</v>
      </c>
      <c r="M16" s="20" t="s">
        <v>2888</v>
      </c>
      <c r="N16" s="21" t="s">
        <v>1791</v>
      </c>
      <c r="O16" s="20"/>
    </row>
    <row r="17" spans="1:15" x14ac:dyDescent="0.3">
      <c r="A17" s="20" t="s">
        <v>2955</v>
      </c>
      <c r="B17" s="20" t="s">
        <v>2956</v>
      </c>
      <c r="C17" s="20" t="s">
        <v>2957</v>
      </c>
      <c r="D17" s="20" t="s">
        <v>2878</v>
      </c>
      <c r="E17" s="20" t="s">
        <v>2958</v>
      </c>
      <c r="F17" s="20" t="s">
        <v>2880</v>
      </c>
      <c r="G17" s="20"/>
      <c r="H17" s="20">
        <v>30</v>
      </c>
      <c r="I17" s="21" t="s">
        <v>317</v>
      </c>
      <c r="J17" s="21" t="s">
        <v>2959</v>
      </c>
      <c r="K17" s="20" t="s">
        <v>105</v>
      </c>
      <c r="L17" s="22">
        <v>900000</v>
      </c>
      <c r="M17" s="20" t="s">
        <v>2881</v>
      </c>
      <c r="N17" s="21" t="s">
        <v>1920</v>
      </c>
      <c r="O17" s="20"/>
    </row>
    <row r="18" spans="1:15" x14ac:dyDescent="0.3">
      <c r="A18" s="20" t="s">
        <v>2960</v>
      </c>
      <c r="B18" s="20" t="s">
        <v>2961</v>
      </c>
      <c r="C18" s="20" t="s">
        <v>2962</v>
      </c>
      <c r="D18" s="20" t="s">
        <v>2878</v>
      </c>
      <c r="E18" s="20" t="s">
        <v>2963</v>
      </c>
      <c r="F18" s="20" t="s">
        <v>154</v>
      </c>
      <c r="G18" s="20"/>
      <c r="H18" s="20">
        <v>10</v>
      </c>
      <c r="I18" s="21" t="s">
        <v>1318</v>
      </c>
      <c r="J18" s="21" t="s">
        <v>2964</v>
      </c>
      <c r="K18" s="20" t="s">
        <v>105</v>
      </c>
      <c r="L18" s="22">
        <v>600000</v>
      </c>
      <c r="M18" s="20" t="s">
        <v>2881</v>
      </c>
      <c r="N18" s="21" t="s">
        <v>2121</v>
      </c>
      <c r="O18" s="20"/>
    </row>
    <row r="19" spans="1:15" x14ac:dyDescent="0.3">
      <c r="A19" s="20" t="s">
        <v>2965</v>
      </c>
      <c r="B19" s="20" t="s">
        <v>2966</v>
      </c>
      <c r="C19" s="20" t="s">
        <v>2967</v>
      </c>
      <c r="D19" s="20" t="s">
        <v>2878</v>
      </c>
      <c r="E19" s="20" t="s">
        <v>2968</v>
      </c>
      <c r="F19" s="20" t="s">
        <v>87</v>
      </c>
      <c r="G19" s="20"/>
      <c r="H19" s="20">
        <v>5</v>
      </c>
      <c r="I19" s="21" t="s">
        <v>1782</v>
      </c>
      <c r="J19" s="21" t="s">
        <v>2969</v>
      </c>
      <c r="K19" s="20" t="s">
        <v>105</v>
      </c>
      <c r="L19" s="22">
        <v>2250000</v>
      </c>
      <c r="M19" s="20" t="s">
        <v>2888</v>
      </c>
      <c r="N19" s="21" t="s">
        <v>2652</v>
      </c>
      <c r="O19" s="20"/>
    </row>
    <row r="20" spans="1:15" x14ac:dyDescent="0.3">
      <c r="A20" s="20" t="s">
        <v>2970</v>
      </c>
      <c r="B20" s="20" t="s">
        <v>2971</v>
      </c>
      <c r="C20" s="20" t="s">
        <v>2972</v>
      </c>
      <c r="D20" s="20" t="s">
        <v>2878</v>
      </c>
      <c r="E20" s="20" t="s">
        <v>2973</v>
      </c>
      <c r="F20" s="20" t="s">
        <v>87</v>
      </c>
      <c r="G20" s="20"/>
      <c r="H20" s="20">
        <v>8</v>
      </c>
      <c r="I20" s="21" t="s">
        <v>2974</v>
      </c>
      <c r="J20" s="21" t="s">
        <v>2975</v>
      </c>
      <c r="K20" s="20" t="s">
        <v>105</v>
      </c>
      <c r="L20" s="22">
        <v>960000</v>
      </c>
      <c r="M20" s="20" t="s">
        <v>2881</v>
      </c>
      <c r="N20" s="21" t="s">
        <v>94</v>
      </c>
      <c r="O20" s="20"/>
    </row>
    <row r="21" spans="1:15" x14ac:dyDescent="0.3">
      <c r="A21" s="20" t="s">
        <v>2976</v>
      </c>
      <c r="B21" s="20" t="s">
        <v>2977</v>
      </c>
      <c r="C21" s="20" t="s">
        <v>2884</v>
      </c>
      <c r="D21" s="20" t="s">
        <v>2878</v>
      </c>
      <c r="E21" s="20" t="s">
        <v>2978</v>
      </c>
      <c r="F21" s="20" t="s">
        <v>87</v>
      </c>
      <c r="G21" s="20"/>
      <c r="H21" s="20">
        <v>3</v>
      </c>
      <c r="I21" s="21" t="s">
        <v>2233</v>
      </c>
      <c r="J21" s="21" t="s">
        <v>2979</v>
      </c>
      <c r="K21" s="20" t="s">
        <v>105</v>
      </c>
      <c r="L21" s="22">
        <v>1350000</v>
      </c>
      <c r="M21" s="20" t="s">
        <v>2881</v>
      </c>
      <c r="N21" s="21" t="s">
        <v>2980</v>
      </c>
      <c r="O21" s="20"/>
    </row>
    <row r="22" spans="1:15" x14ac:dyDescent="0.3">
      <c r="A22" s="7"/>
      <c r="B22" s="7" t="s">
        <v>3055</v>
      </c>
      <c r="C22" s="7"/>
      <c r="D22" s="7"/>
      <c r="E22" s="7"/>
      <c r="F22" s="7"/>
      <c r="G22" s="7"/>
      <c r="H22" s="7"/>
      <c r="I22" s="10"/>
      <c r="J22" s="10"/>
      <c r="K22" s="7"/>
      <c r="L22" s="11"/>
      <c r="M22" s="7"/>
      <c r="N22" s="10"/>
      <c r="O22" s="7"/>
    </row>
    <row r="23" spans="1:15" x14ac:dyDescent="0.3">
      <c r="A23" s="7"/>
      <c r="B23" s="7" t="s">
        <v>3056</v>
      </c>
      <c r="C23" s="7"/>
      <c r="D23" s="7"/>
      <c r="E23" s="7"/>
      <c r="F23" s="7"/>
      <c r="G23" s="7"/>
      <c r="H23" s="7"/>
      <c r="I23" s="10"/>
      <c r="J23" s="10"/>
      <c r="K23" s="7"/>
      <c r="L23" s="11"/>
      <c r="M23" s="7"/>
      <c r="N23" s="10"/>
      <c r="O23" s="7"/>
    </row>
    <row r="24" spans="1:15" x14ac:dyDescent="0.3">
      <c r="A24" s="7"/>
      <c r="B24" s="7"/>
      <c r="C24" s="7"/>
      <c r="D24" s="7"/>
      <c r="E24" s="7"/>
      <c r="F24" s="7"/>
      <c r="G24" s="7"/>
      <c r="H24" s="7"/>
      <c r="I24" s="10"/>
      <c r="J24" s="10"/>
      <c r="K24" s="7"/>
      <c r="L24" s="11"/>
      <c r="M24" s="7"/>
      <c r="N24" s="10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10"/>
      <c r="J25" s="10"/>
      <c r="K25" s="7"/>
      <c r="L25" s="11"/>
      <c r="M25" s="7"/>
      <c r="N25" s="10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10"/>
      <c r="J26" s="10"/>
      <c r="K26" s="7"/>
      <c r="L26" s="11"/>
      <c r="M26" s="7"/>
      <c r="N26" s="10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10"/>
      <c r="J27" s="10"/>
      <c r="K27" s="7"/>
      <c r="L27" s="11"/>
      <c r="M27" s="7"/>
      <c r="N27" s="10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10"/>
      <c r="J28" s="10"/>
      <c r="K28" s="7"/>
      <c r="L28" s="11"/>
      <c r="M28" s="7"/>
      <c r="N28" s="10"/>
      <c r="O28" s="7"/>
    </row>
    <row r="29" spans="1:15" x14ac:dyDescent="0.3">
      <c r="A29" s="7"/>
      <c r="B29" s="7"/>
      <c r="C29" s="7"/>
      <c r="D29" s="7"/>
      <c r="E29" s="7"/>
      <c r="F29" s="7"/>
      <c r="G29" s="7"/>
      <c r="H29" s="7"/>
      <c r="I29" s="10"/>
      <c r="J29" s="10"/>
      <c r="K29" s="7"/>
      <c r="L29" s="11"/>
      <c r="M29" s="7"/>
      <c r="N29" s="10"/>
      <c r="O29" s="7"/>
    </row>
    <row r="30" spans="1:15" x14ac:dyDescent="0.3">
      <c r="A30" s="7"/>
      <c r="B30" s="7"/>
      <c r="C30" s="7"/>
      <c r="D30" s="7"/>
      <c r="E30" s="7"/>
      <c r="F30" s="7"/>
      <c r="G30" s="7"/>
      <c r="H30" s="7"/>
      <c r="I30" s="10"/>
      <c r="J30" s="10"/>
      <c r="K30" s="7"/>
      <c r="L30" s="11"/>
      <c r="M30" s="7"/>
      <c r="N30" s="10"/>
      <c r="O30" s="7"/>
    </row>
    <row r="31" spans="1:15" x14ac:dyDescent="0.3">
      <c r="A31" s="7"/>
      <c r="B31" s="7"/>
      <c r="C31" s="7"/>
      <c r="D31" s="7"/>
      <c r="E31" s="7"/>
      <c r="F31" s="7"/>
      <c r="G31" s="7"/>
      <c r="H31" s="7"/>
      <c r="I31" s="10"/>
      <c r="J31" s="10"/>
      <c r="K31" s="7"/>
      <c r="L31" s="11"/>
      <c r="M31" s="7"/>
      <c r="N31" s="10"/>
      <c r="O31" s="7"/>
    </row>
    <row r="32" spans="1:15" x14ac:dyDescent="0.3">
      <c r="A32" s="7"/>
      <c r="B32" s="7"/>
      <c r="C32" s="7"/>
      <c r="D32" s="7"/>
      <c r="E32" s="7"/>
      <c r="F32" s="7"/>
      <c r="G32" s="7"/>
      <c r="H32" s="7"/>
      <c r="I32" s="10"/>
      <c r="J32" s="10"/>
      <c r="K32" s="7"/>
      <c r="L32" s="11"/>
      <c r="M32" s="7"/>
      <c r="N32" s="10"/>
      <c r="O32" s="7"/>
    </row>
    <row r="33" spans="1:15" x14ac:dyDescent="0.3">
      <c r="A33" s="7"/>
      <c r="B33" s="7"/>
      <c r="C33" s="7"/>
      <c r="D33" s="7"/>
      <c r="E33" s="7"/>
      <c r="F33" s="7"/>
      <c r="G33" s="7"/>
      <c r="H33" s="7"/>
      <c r="I33" s="10"/>
      <c r="J33" s="10"/>
      <c r="K33" s="7"/>
      <c r="L33" s="11"/>
      <c r="M33" s="7"/>
      <c r="N33" s="10"/>
      <c r="O33" s="7"/>
    </row>
    <row r="34" spans="1:15" x14ac:dyDescent="0.3">
      <c r="A34" s="7"/>
      <c r="B34" s="7"/>
      <c r="C34" s="7"/>
      <c r="D34" s="7"/>
      <c r="E34" s="7"/>
      <c r="F34" s="7"/>
      <c r="G34" s="7"/>
      <c r="H34" s="7"/>
      <c r="I34" s="10"/>
      <c r="J34" s="10"/>
      <c r="K34" s="7"/>
      <c r="L34" s="11"/>
      <c r="M34" s="7"/>
      <c r="N34" s="10"/>
      <c r="O34" s="7"/>
    </row>
    <row r="35" spans="1:15" x14ac:dyDescent="0.3">
      <c r="A35" s="7"/>
      <c r="B35" s="7"/>
      <c r="C35" s="7"/>
      <c r="D35" s="7"/>
      <c r="E35" s="7"/>
      <c r="F35" s="7"/>
      <c r="G35" s="7"/>
      <c r="H35" s="7"/>
      <c r="I35" s="10"/>
      <c r="J35" s="10"/>
      <c r="K35" s="7"/>
      <c r="L35" s="11"/>
      <c r="M35" s="7"/>
      <c r="N35" s="10"/>
      <c r="O35" s="7"/>
    </row>
    <row r="36" spans="1:15" x14ac:dyDescent="0.3">
      <c r="A36" s="7"/>
      <c r="B36" s="7"/>
      <c r="C36" s="7"/>
      <c r="D36" s="7"/>
      <c r="E36" s="7"/>
      <c r="F36" s="7"/>
      <c r="G36" s="7"/>
      <c r="H36" s="7"/>
      <c r="I36" s="10"/>
      <c r="J36" s="10"/>
      <c r="K36" s="7"/>
      <c r="L36" s="11"/>
      <c r="M36" s="7"/>
      <c r="N36" s="10"/>
      <c r="O36" s="7"/>
    </row>
    <row r="37" spans="1:15" x14ac:dyDescent="0.3">
      <c r="A37" s="7"/>
      <c r="B37" s="7"/>
      <c r="C37" s="7"/>
      <c r="D37" s="7"/>
      <c r="E37" s="7"/>
      <c r="F37" s="7"/>
      <c r="G37" s="7"/>
      <c r="H37" s="7"/>
      <c r="I37" s="10"/>
      <c r="J37" s="10"/>
      <c r="K37" s="7"/>
      <c r="L37" s="11"/>
      <c r="M37" s="7"/>
      <c r="N37" s="10"/>
      <c r="O37" s="7"/>
    </row>
    <row r="38" spans="1:15" x14ac:dyDescent="0.3">
      <c r="A38" s="7"/>
      <c r="B38" s="7"/>
      <c r="C38" s="7"/>
      <c r="D38" s="7"/>
      <c r="E38" s="7"/>
      <c r="F38" s="7"/>
      <c r="G38" s="7"/>
      <c r="H38" s="7"/>
      <c r="I38" s="10"/>
      <c r="J38" s="10"/>
      <c r="K38" s="7"/>
      <c r="L38" s="11"/>
      <c r="M38" s="7"/>
      <c r="N38" s="10"/>
      <c r="O38" s="7"/>
    </row>
    <row r="39" spans="1:15" x14ac:dyDescent="0.3">
      <c r="A39" s="7"/>
      <c r="B39" s="7"/>
      <c r="C39" s="7"/>
      <c r="D39" s="7"/>
      <c r="E39" s="7"/>
      <c r="F39" s="7"/>
      <c r="G39" s="7"/>
      <c r="H39" s="7"/>
      <c r="I39" s="10"/>
      <c r="J39" s="10"/>
      <c r="K39" s="7"/>
      <c r="L39" s="11"/>
      <c r="M39" s="7"/>
      <c r="N39" s="10"/>
      <c r="O39" s="7"/>
    </row>
    <row r="40" spans="1:15" x14ac:dyDescent="0.3">
      <c r="A40" s="7"/>
      <c r="B40" s="7"/>
      <c r="C40" s="7"/>
      <c r="D40" s="7"/>
      <c r="E40" s="7"/>
      <c r="F40" s="7"/>
      <c r="G40" s="7"/>
      <c r="H40" s="7"/>
      <c r="I40" s="10"/>
      <c r="J40" s="10"/>
      <c r="K40" s="7"/>
      <c r="L40" s="11"/>
      <c r="M40" s="7"/>
      <c r="N40" s="10"/>
      <c r="O40" s="7"/>
    </row>
    <row r="41" spans="1:15" x14ac:dyDescent="0.3">
      <c r="A41" s="7"/>
      <c r="B41" s="7"/>
      <c r="C41" s="7"/>
      <c r="D41" s="7"/>
      <c r="E41" s="7"/>
      <c r="F41" s="7"/>
      <c r="G41" s="7"/>
      <c r="H41" s="7"/>
      <c r="I41" s="10"/>
      <c r="J41" s="10"/>
      <c r="K41" s="7"/>
      <c r="L41" s="11"/>
      <c r="M41" s="7"/>
      <c r="N41" s="10"/>
      <c r="O41" s="7"/>
    </row>
    <row r="42" spans="1:15" x14ac:dyDescent="0.3">
      <c r="A42" s="7"/>
      <c r="B42" s="7"/>
      <c r="C42" s="7"/>
      <c r="D42" s="7"/>
      <c r="E42" s="7"/>
      <c r="F42" s="7"/>
      <c r="G42" s="7"/>
      <c r="H42" s="7"/>
      <c r="I42" s="10"/>
      <c r="J42" s="10"/>
      <c r="K42" s="7"/>
      <c r="L42" s="11"/>
      <c r="M42" s="7"/>
      <c r="N42" s="10"/>
      <c r="O42" s="7"/>
    </row>
    <row r="43" spans="1:15" x14ac:dyDescent="0.3">
      <c r="A43" s="7"/>
      <c r="B43" s="7"/>
      <c r="C43" s="7"/>
      <c r="D43" s="7"/>
      <c r="E43" s="7"/>
      <c r="F43" s="7"/>
      <c r="G43" s="7"/>
      <c r="H43" s="7"/>
      <c r="I43" s="10"/>
      <c r="J43" s="10"/>
      <c r="K43" s="7"/>
      <c r="L43" s="11"/>
      <c r="M43" s="7"/>
      <c r="N43" s="10"/>
      <c r="O43" s="7"/>
    </row>
    <row r="44" spans="1:15" x14ac:dyDescent="0.3">
      <c r="A44" s="7"/>
      <c r="B44" s="7"/>
      <c r="C44" s="7"/>
      <c r="D44" s="7"/>
      <c r="E44" s="7"/>
      <c r="F44" s="7"/>
      <c r="G44" s="7"/>
      <c r="H44" s="7"/>
      <c r="I44" s="10"/>
      <c r="J44" s="10"/>
      <c r="K44" s="7"/>
      <c r="L44" s="11"/>
      <c r="M44" s="7"/>
      <c r="N44" s="10"/>
      <c r="O44" s="7"/>
    </row>
    <row r="45" spans="1:15" x14ac:dyDescent="0.3">
      <c r="A45" s="7"/>
      <c r="B45" s="7"/>
      <c r="C45" s="7"/>
      <c r="D45" s="7"/>
      <c r="E45" s="7"/>
      <c r="F45" s="7"/>
      <c r="G45" s="7"/>
      <c r="H45" s="7"/>
      <c r="I45" s="10"/>
      <c r="J45" s="10"/>
      <c r="K45" s="7"/>
      <c r="L45" s="11"/>
      <c r="M45" s="7"/>
      <c r="N45" s="10"/>
      <c r="O45" s="7"/>
    </row>
    <row r="46" spans="1:15" x14ac:dyDescent="0.3">
      <c r="A46" s="7"/>
      <c r="B46" s="7"/>
      <c r="C46" s="7"/>
      <c r="D46" s="7"/>
      <c r="E46" s="7"/>
      <c r="F46" s="7"/>
      <c r="G46" s="7"/>
      <c r="H46" s="7"/>
      <c r="I46" s="10"/>
      <c r="J46" s="10"/>
      <c r="K46" s="7"/>
      <c r="L46" s="11"/>
      <c r="M46" s="7"/>
      <c r="N46" s="10"/>
      <c r="O46" s="7"/>
    </row>
    <row r="47" spans="1:15" x14ac:dyDescent="0.3">
      <c r="A47" s="7"/>
      <c r="B47" s="7"/>
      <c r="C47" s="7"/>
      <c r="D47" s="7"/>
      <c r="E47" s="7"/>
      <c r="F47" s="7"/>
      <c r="G47" s="7"/>
      <c r="H47" s="7"/>
      <c r="I47" s="10"/>
      <c r="J47" s="10"/>
      <c r="K47" s="7"/>
      <c r="L47" s="11"/>
      <c r="M47" s="7"/>
      <c r="N47" s="10"/>
      <c r="O47" s="7"/>
    </row>
    <row r="48" spans="1:15" x14ac:dyDescent="0.3">
      <c r="A48" s="7"/>
      <c r="B48" s="7"/>
      <c r="C48" s="7"/>
      <c r="D48" s="7"/>
      <c r="E48" s="7"/>
      <c r="F48" s="7"/>
      <c r="G48" s="7"/>
      <c r="H48" s="7"/>
      <c r="I48" s="10"/>
      <c r="J48" s="10"/>
      <c r="K48" s="7"/>
      <c r="L48" s="11"/>
      <c r="M48" s="7"/>
      <c r="N48" s="10"/>
      <c r="O48" s="7"/>
    </row>
    <row r="49" spans="1:15" x14ac:dyDescent="0.3">
      <c r="A49" s="7"/>
      <c r="B49" s="7"/>
      <c r="C49" s="7"/>
      <c r="D49" s="7"/>
      <c r="E49" s="7"/>
      <c r="F49" s="7"/>
      <c r="G49" s="7"/>
      <c r="H49" s="7"/>
      <c r="I49" s="10"/>
      <c r="J49" s="10"/>
      <c r="K49" s="7"/>
      <c r="L49" s="11"/>
      <c r="M49" s="7"/>
      <c r="N49" s="10"/>
      <c r="O49" s="7"/>
    </row>
    <row r="50" spans="1:15" x14ac:dyDescent="0.3">
      <c r="A50" s="7"/>
      <c r="B50" s="7"/>
      <c r="C50" s="7"/>
      <c r="D50" s="7"/>
      <c r="E50" s="7"/>
      <c r="F50" s="7"/>
      <c r="G50" s="7"/>
      <c r="H50" s="7"/>
      <c r="I50" s="10"/>
      <c r="J50" s="10"/>
      <c r="K50" s="7"/>
      <c r="L50" s="11"/>
      <c r="M50" s="7"/>
      <c r="N50" s="10"/>
      <c r="O50" s="7"/>
    </row>
    <row r="51" spans="1:15" x14ac:dyDescent="0.3">
      <c r="A51" s="7"/>
      <c r="B51" s="7"/>
      <c r="C51" s="7"/>
      <c r="D51" s="7"/>
      <c r="E51" s="7"/>
      <c r="F51" s="7"/>
      <c r="G51" s="7"/>
      <c r="H51" s="7"/>
      <c r="I51" s="10"/>
      <c r="J51" s="10"/>
      <c r="K51" s="7"/>
      <c r="L51" s="11"/>
      <c r="M51" s="7"/>
      <c r="N51" s="10"/>
      <c r="O51" s="7"/>
    </row>
    <row r="52" spans="1:15" x14ac:dyDescent="0.3">
      <c r="A52" s="7"/>
      <c r="B52" s="7"/>
      <c r="C52" s="7"/>
      <c r="D52" s="7"/>
      <c r="E52" s="7"/>
      <c r="F52" s="7"/>
      <c r="G52" s="7"/>
      <c r="H52" s="7"/>
      <c r="I52" s="10"/>
      <c r="J52" s="10"/>
      <c r="K52" s="7"/>
      <c r="L52" s="11"/>
      <c r="M52" s="7"/>
      <c r="N52" s="10"/>
      <c r="O52" s="7"/>
    </row>
    <row r="53" spans="1:15" x14ac:dyDescent="0.3">
      <c r="A53" s="7"/>
      <c r="B53" s="7"/>
      <c r="C53" s="7"/>
      <c r="D53" s="7"/>
      <c r="E53" s="7"/>
      <c r="F53" s="7"/>
      <c r="G53" s="7"/>
      <c r="H53" s="7"/>
      <c r="I53" s="10"/>
      <c r="J53" s="10"/>
      <c r="K53" s="7"/>
      <c r="L53" s="11"/>
      <c r="M53" s="7"/>
      <c r="N53" s="10"/>
      <c r="O53" s="7"/>
    </row>
    <row r="54" spans="1:15" x14ac:dyDescent="0.3">
      <c r="A54" s="7"/>
      <c r="B54" s="7"/>
      <c r="C54" s="7"/>
      <c r="D54" s="7"/>
      <c r="E54" s="7"/>
      <c r="F54" s="7"/>
      <c r="G54" s="7"/>
      <c r="H54" s="7"/>
      <c r="I54" s="10"/>
      <c r="J54" s="10"/>
      <c r="K54" s="7"/>
      <c r="L54" s="11"/>
      <c r="M54" s="7"/>
      <c r="N54" s="10"/>
      <c r="O54" s="7"/>
    </row>
    <row r="55" spans="1:15" x14ac:dyDescent="0.3">
      <c r="A55" s="7"/>
      <c r="B55" s="7"/>
      <c r="C55" s="7"/>
      <c r="D55" s="7"/>
      <c r="E55" s="7"/>
      <c r="F55" s="7"/>
      <c r="G55" s="7"/>
      <c r="H55" s="7"/>
      <c r="I55" s="10"/>
      <c r="J55" s="10"/>
      <c r="K55" s="7"/>
      <c r="L55" s="11"/>
      <c r="M55" s="7"/>
      <c r="N55" s="10"/>
      <c r="O55" s="7"/>
    </row>
    <row r="56" spans="1:15" x14ac:dyDescent="0.3">
      <c r="A56" s="7"/>
      <c r="B56" s="7"/>
      <c r="C56" s="7"/>
      <c r="D56" s="7"/>
      <c r="E56" s="7"/>
      <c r="F56" s="7"/>
      <c r="G56" s="7"/>
      <c r="H56" s="7"/>
      <c r="I56" s="10"/>
      <c r="J56" s="10"/>
      <c r="K56" s="7"/>
      <c r="L56" s="11"/>
      <c r="M56" s="7"/>
      <c r="N56" s="10"/>
      <c r="O56" s="7"/>
    </row>
    <row r="57" spans="1:15" x14ac:dyDescent="0.3">
      <c r="A57" s="7"/>
      <c r="B57" s="7"/>
      <c r="C57" s="7"/>
      <c r="D57" s="7"/>
      <c r="E57" s="7"/>
      <c r="F57" s="7"/>
      <c r="G57" s="7"/>
      <c r="H57" s="7"/>
      <c r="I57" s="10"/>
      <c r="J57" s="10"/>
      <c r="K57" s="7"/>
      <c r="L57" s="11"/>
      <c r="M57" s="7"/>
      <c r="N57" s="10"/>
      <c r="O57" s="7"/>
    </row>
    <row r="58" spans="1:15" x14ac:dyDescent="0.3">
      <c r="A58" s="7"/>
      <c r="B58" s="7"/>
      <c r="C58" s="7"/>
      <c r="D58" s="7"/>
      <c r="E58" s="7"/>
      <c r="F58" s="7"/>
      <c r="G58" s="7"/>
      <c r="H58" s="7"/>
      <c r="I58" s="10"/>
      <c r="J58" s="10"/>
      <c r="K58" s="7"/>
      <c r="L58" s="11"/>
      <c r="M58" s="7"/>
      <c r="N58" s="10"/>
      <c r="O58" s="7"/>
    </row>
    <row r="59" spans="1:15" x14ac:dyDescent="0.3">
      <c r="A59" s="7"/>
      <c r="B59" s="7"/>
      <c r="C59" s="7"/>
      <c r="D59" s="7"/>
      <c r="E59" s="7"/>
      <c r="F59" s="7"/>
      <c r="G59" s="7"/>
      <c r="H59" s="7"/>
      <c r="I59" s="10"/>
      <c r="J59" s="10"/>
      <c r="K59" s="7"/>
      <c r="L59" s="11"/>
      <c r="M59" s="7"/>
      <c r="N59" s="10"/>
      <c r="O59" s="7"/>
    </row>
    <row r="60" spans="1:15" x14ac:dyDescent="0.3">
      <c r="A60" s="7"/>
      <c r="B60" s="7"/>
      <c r="C60" s="7"/>
      <c r="D60" s="7"/>
      <c r="E60" s="7"/>
      <c r="F60" s="7"/>
      <c r="G60" s="7"/>
      <c r="H60" s="7"/>
      <c r="I60" s="10"/>
      <c r="J60" s="10"/>
      <c r="K60" s="7"/>
      <c r="L60" s="11"/>
      <c r="M60" s="7"/>
      <c r="N60" s="10"/>
      <c r="O60" s="7"/>
    </row>
    <row r="61" spans="1:15" x14ac:dyDescent="0.3">
      <c r="A61" s="7"/>
      <c r="B61" s="7"/>
      <c r="C61" s="7"/>
      <c r="D61" s="7"/>
      <c r="E61" s="7"/>
      <c r="F61" s="7"/>
      <c r="G61" s="7"/>
      <c r="H61" s="7"/>
      <c r="I61" s="10"/>
      <c r="J61" s="10"/>
      <c r="K61" s="7"/>
      <c r="L61" s="11"/>
      <c r="M61" s="7"/>
      <c r="N61" s="10"/>
      <c r="O61" s="7"/>
    </row>
    <row r="62" spans="1:15" x14ac:dyDescent="0.3">
      <c r="A62" s="7"/>
      <c r="B62" s="7"/>
      <c r="C62" s="7"/>
      <c r="D62" s="7"/>
      <c r="E62" s="7"/>
      <c r="F62" s="7"/>
      <c r="G62" s="7"/>
      <c r="H62" s="7"/>
      <c r="I62" s="10"/>
      <c r="J62" s="10"/>
      <c r="K62" s="7"/>
      <c r="L62" s="11"/>
      <c r="M62" s="7"/>
      <c r="N62" s="10"/>
      <c r="O62" s="7"/>
    </row>
    <row r="63" spans="1:15" x14ac:dyDescent="0.3">
      <c r="A63" s="7"/>
      <c r="B63" s="7"/>
      <c r="C63" s="7"/>
      <c r="D63" s="7"/>
      <c r="E63" s="7"/>
      <c r="F63" s="7"/>
      <c r="G63" s="7"/>
      <c r="H63" s="7"/>
      <c r="I63" s="10"/>
      <c r="J63" s="10"/>
      <c r="K63" s="7"/>
      <c r="L63" s="11"/>
      <c r="M63" s="7"/>
      <c r="N63" s="10"/>
      <c r="O63" s="7"/>
    </row>
    <row r="64" spans="1:15" x14ac:dyDescent="0.3">
      <c r="A64" s="7"/>
      <c r="B64" s="7"/>
      <c r="C64" s="7"/>
      <c r="D64" s="7"/>
      <c r="E64" s="7"/>
      <c r="F64" s="7"/>
      <c r="G64" s="7"/>
      <c r="H64" s="7"/>
      <c r="I64" s="10"/>
      <c r="J64" s="10"/>
      <c r="K64" s="7"/>
      <c r="L64" s="11"/>
      <c r="M64" s="7"/>
      <c r="N64" s="10"/>
      <c r="O64" s="7"/>
    </row>
    <row r="65" spans="1:15" x14ac:dyDescent="0.3">
      <c r="A65" s="7"/>
      <c r="B65" s="7"/>
      <c r="C65" s="7"/>
      <c r="D65" s="7"/>
      <c r="E65" s="7"/>
      <c r="F65" s="7"/>
      <c r="G65" s="7"/>
      <c r="H65" s="7"/>
      <c r="I65" s="10"/>
      <c r="J65" s="10"/>
      <c r="K65" s="7"/>
      <c r="L65" s="11"/>
      <c r="M65" s="7"/>
      <c r="N65" s="10"/>
      <c r="O65" s="7"/>
    </row>
    <row r="66" spans="1:15" x14ac:dyDescent="0.3">
      <c r="A66" s="7"/>
      <c r="B66" s="7"/>
      <c r="C66" s="7"/>
      <c r="D66" s="7"/>
      <c r="E66" s="7"/>
      <c r="F66" s="7"/>
      <c r="G66" s="7"/>
      <c r="H66" s="7"/>
      <c r="I66" s="10"/>
      <c r="J66" s="10"/>
      <c r="K66" s="7"/>
      <c r="L66" s="11"/>
      <c r="M66" s="7"/>
      <c r="N66" s="10"/>
      <c r="O66" s="7"/>
    </row>
    <row r="67" spans="1:15" x14ac:dyDescent="0.3">
      <c r="A67" s="7"/>
      <c r="B67" s="7"/>
      <c r="C67" s="7"/>
      <c r="D67" s="7"/>
      <c r="E67" s="7"/>
      <c r="F67" s="7"/>
      <c r="G67" s="7"/>
      <c r="H67" s="7"/>
      <c r="I67" s="10"/>
      <c r="J67" s="10"/>
      <c r="K67" s="7"/>
      <c r="L67" s="11"/>
      <c r="M67" s="7"/>
      <c r="N67" s="10"/>
      <c r="O67" s="7"/>
    </row>
    <row r="68" spans="1:15" x14ac:dyDescent="0.3">
      <c r="A68" s="7"/>
      <c r="B68" s="7"/>
      <c r="C68" s="7"/>
      <c r="D68" s="7"/>
      <c r="E68" s="7"/>
      <c r="F68" s="7"/>
      <c r="G68" s="7"/>
      <c r="H68" s="7"/>
      <c r="I68" s="10"/>
      <c r="J68" s="10"/>
      <c r="K68" s="7"/>
      <c r="L68" s="11"/>
      <c r="M68" s="7"/>
      <c r="N68" s="10"/>
      <c r="O68" s="7"/>
    </row>
    <row r="69" spans="1:15" x14ac:dyDescent="0.3">
      <c r="A69" s="7"/>
      <c r="B69" s="7"/>
      <c r="C69" s="7"/>
      <c r="D69" s="7"/>
      <c r="E69" s="7"/>
      <c r="F69" s="7"/>
      <c r="G69" s="7"/>
      <c r="H69" s="7"/>
      <c r="I69" s="10"/>
      <c r="J69" s="10"/>
      <c r="K69" s="7"/>
      <c r="L69" s="11"/>
      <c r="M69" s="7"/>
      <c r="N69" s="10"/>
      <c r="O69" s="7"/>
    </row>
    <row r="70" spans="1:15" x14ac:dyDescent="0.3">
      <c r="A70" s="7"/>
      <c r="B70" s="7"/>
      <c r="C70" s="7"/>
      <c r="D70" s="7"/>
      <c r="E70" s="7"/>
      <c r="F70" s="7"/>
      <c r="G70" s="7"/>
      <c r="H70" s="7"/>
      <c r="I70" s="10"/>
      <c r="J70" s="10"/>
      <c r="K70" s="7"/>
      <c r="L70" s="11"/>
      <c r="M70" s="7"/>
      <c r="N70" s="10"/>
      <c r="O70" s="7"/>
    </row>
    <row r="71" spans="1:15" x14ac:dyDescent="0.3">
      <c r="A71" s="7"/>
      <c r="B71" s="7"/>
      <c r="C71" s="7"/>
      <c r="D71" s="7"/>
      <c r="E71" s="7"/>
      <c r="F71" s="7"/>
      <c r="G71" s="7"/>
      <c r="H71" s="7"/>
      <c r="I71" s="10"/>
      <c r="J71" s="10"/>
      <c r="K71" s="7"/>
      <c r="L71" s="11"/>
      <c r="M71" s="7"/>
      <c r="N71" s="10"/>
      <c r="O71" s="7"/>
    </row>
    <row r="72" spans="1:15" x14ac:dyDescent="0.3">
      <c r="A72" s="7"/>
      <c r="B72" s="7"/>
      <c r="C72" s="7"/>
      <c r="D72" s="7"/>
      <c r="E72" s="7"/>
      <c r="F72" s="7"/>
      <c r="G72" s="7"/>
      <c r="H72" s="7"/>
      <c r="I72" s="10"/>
      <c r="J72" s="10"/>
      <c r="K72" s="7"/>
      <c r="L72" s="11"/>
      <c r="M72" s="7"/>
      <c r="N72" s="10"/>
      <c r="O72" s="7"/>
    </row>
    <row r="73" spans="1:15" x14ac:dyDescent="0.3">
      <c r="A73" s="7"/>
      <c r="B73" s="7"/>
      <c r="C73" s="7"/>
      <c r="D73" s="7"/>
      <c r="E73" s="7"/>
      <c r="F73" s="7"/>
      <c r="G73" s="7"/>
      <c r="H73" s="7"/>
      <c r="I73" s="10"/>
      <c r="J73" s="10"/>
      <c r="K73" s="7"/>
      <c r="L73" s="11"/>
      <c r="M73" s="7"/>
      <c r="N73" s="10"/>
      <c r="O73" s="7"/>
    </row>
    <row r="74" spans="1:15" x14ac:dyDescent="0.3">
      <c r="A74" s="7"/>
      <c r="B74" s="7"/>
      <c r="C74" s="7"/>
      <c r="D74" s="7"/>
      <c r="E74" s="7"/>
      <c r="F74" s="7"/>
      <c r="G74" s="7"/>
      <c r="H74" s="7"/>
      <c r="I74" s="10"/>
      <c r="J74" s="10"/>
      <c r="K74" s="7"/>
      <c r="L74" s="11"/>
      <c r="M74" s="7"/>
      <c r="N74" s="10"/>
      <c r="O74" s="7"/>
    </row>
    <row r="75" spans="1:15" x14ac:dyDescent="0.3">
      <c r="A75" s="7"/>
      <c r="B75" s="7"/>
      <c r="C75" s="7"/>
      <c r="D75" s="7"/>
      <c r="E75" s="7"/>
      <c r="F75" s="7"/>
      <c r="G75" s="7"/>
      <c r="H75" s="7"/>
      <c r="I75" s="10"/>
      <c r="J75" s="10"/>
      <c r="K75" s="7"/>
      <c r="L75" s="11"/>
      <c r="M75" s="7"/>
      <c r="N75" s="10"/>
      <c r="O75" s="7"/>
    </row>
    <row r="76" spans="1:15" x14ac:dyDescent="0.3">
      <c r="A76" s="7"/>
      <c r="B76" s="7"/>
      <c r="C76" s="7"/>
      <c r="D76" s="7"/>
      <c r="E76" s="7"/>
      <c r="F76" s="7"/>
      <c r="G76" s="7"/>
      <c r="H76" s="7"/>
      <c r="I76" s="10"/>
      <c r="J76" s="10"/>
      <c r="K76" s="7"/>
      <c r="L76" s="11"/>
      <c r="M76" s="7"/>
      <c r="N76" s="10"/>
      <c r="O76" s="7"/>
    </row>
    <row r="77" spans="1:15" x14ac:dyDescent="0.3">
      <c r="A77" s="7"/>
      <c r="B77" s="7"/>
      <c r="C77" s="7"/>
      <c r="D77" s="7"/>
      <c r="E77" s="7"/>
      <c r="F77" s="7"/>
      <c r="G77" s="7"/>
      <c r="H77" s="7"/>
      <c r="I77" s="10"/>
      <c r="J77" s="10"/>
      <c r="K77" s="7"/>
      <c r="L77" s="11"/>
      <c r="M77" s="7"/>
      <c r="N77" s="10"/>
      <c r="O77" s="7"/>
    </row>
    <row r="78" spans="1:15" x14ac:dyDescent="0.3">
      <c r="A78" s="7"/>
      <c r="B78" s="7"/>
      <c r="C78" s="7"/>
      <c r="D78" s="7"/>
      <c r="E78" s="7"/>
      <c r="F78" s="7"/>
      <c r="G78" s="7"/>
      <c r="H78" s="7"/>
      <c r="I78" s="10"/>
      <c r="J78" s="10"/>
      <c r="K78" s="7"/>
      <c r="L78" s="11"/>
      <c r="M78" s="7"/>
      <c r="N78" s="10"/>
      <c r="O78" s="7"/>
    </row>
    <row r="79" spans="1:15" x14ac:dyDescent="0.3">
      <c r="A79" s="7"/>
      <c r="B79" s="7"/>
      <c r="C79" s="7"/>
      <c r="D79" s="7"/>
      <c r="E79" s="7"/>
      <c r="F79" s="7"/>
      <c r="G79" s="7"/>
      <c r="H79" s="7"/>
      <c r="I79" s="10"/>
      <c r="J79" s="10"/>
      <c r="K79" s="7"/>
      <c r="L79" s="11"/>
      <c r="M79" s="7"/>
      <c r="N79" s="10"/>
      <c r="O79" s="7"/>
    </row>
    <row r="80" spans="1:15" x14ac:dyDescent="0.3">
      <c r="A80" s="7"/>
      <c r="B80" s="7"/>
      <c r="C80" s="7"/>
      <c r="D80" s="7"/>
      <c r="E80" s="7"/>
      <c r="F80" s="7"/>
      <c r="G80" s="7"/>
      <c r="H80" s="7"/>
      <c r="I80" s="10"/>
      <c r="J80" s="10"/>
      <c r="K80" s="7"/>
      <c r="L80" s="11"/>
      <c r="M80" s="7"/>
      <c r="N80" s="10"/>
      <c r="O80" s="7"/>
    </row>
    <row r="81" spans="1:15" x14ac:dyDescent="0.3">
      <c r="A81" s="7"/>
      <c r="B81" s="7"/>
      <c r="C81" s="7"/>
      <c r="D81" s="7"/>
      <c r="E81" s="7"/>
      <c r="F81" s="7"/>
      <c r="G81" s="7"/>
      <c r="H81" s="7"/>
      <c r="I81" s="10"/>
      <c r="J81" s="10"/>
      <c r="K81" s="7"/>
      <c r="L81" s="11"/>
      <c r="M81" s="7"/>
      <c r="N81" s="10"/>
      <c r="O81" s="7"/>
    </row>
    <row r="82" spans="1:15" x14ac:dyDescent="0.3">
      <c r="A82" s="7"/>
      <c r="B82" s="7"/>
      <c r="C82" s="7"/>
      <c r="D82" s="7"/>
      <c r="E82" s="7"/>
      <c r="F82" s="7"/>
      <c r="G82" s="7"/>
      <c r="H82" s="7"/>
      <c r="I82" s="10"/>
      <c r="J82" s="10"/>
      <c r="K82" s="7"/>
      <c r="L82" s="11"/>
      <c r="M82" s="7"/>
      <c r="N82" s="10"/>
      <c r="O82" s="7"/>
    </row>
    <row r="83" spans="1:15" x14ac:dyDescent="0.3">
      <c r="A83" s="7"/>
      <c r="B83" s="7"/>
      <c r="C83" s="7"/>
      <c r="D83" s="7"/>
      <c r="E83" s="7"/>
      <c r="F83" s="7"/>
      <c r="G83" s="7"/>
      <c r="H83" s="7"/>
      <c r="I83" s="10"/>
      <c r="J83" s="10"/>
      <c r="K83" s="7"/>
      <c r="L83" s="11"/>
      <c r="M83" s="7"/>
      <c r="N83" s="10"/>
      <c r="O83" s="7"/>
    </row>
    <row r="84" spans="1:15" x14ac:dyDescent="0.3">
      <c r="A84" s="7"/>
      <c r="B84" s="7"/>
      <c r="C84" s="7"/>
      <c r="D84" s="7"/>
      <c r="E84" s="7"/>
      <c r="F84" s="7"/>
      <c r="G84" s="7"/>
      <c r="H84" s="7"/>
      <c r="I84" s="10"/>
      <c r="J84" s="10"/>
      <c r="K84" s="7"/>
      <c r="L84" s="11"/>
      <c r="M84" s="7"/>
      <c r="N84" s="10"/>
      <c r="O84" s="7"/>
    </row>
    <row r="85" spans="1:15" x14ac:dyDescent="0.3">
      <c r="A85" s="7"/>
      <c r="B85" s="7"/>
      <c r="C85" s="7"/>
      <c r="D85" s="7"/>
      <c r="E85" s="7"/>
      <c r="F85" s="7"/>
      <c r="G85" s="7"/>
      <c r="H85" s="7"/>
      <c r="I85" s="10"/>
      <c r="J85" s="10"/>
      <c r="K85" s="7"/>
      <c r="L85" s="11"/>
      <c r="M85" s="7"/>
      <c r="N85" s="10"/>
      <c r="O85" s="7"/>
    </row>
    <row r="86" spans="1:15" x14ac:dyDescent="0.3">
      <c r="A86" s="7"/>
      <c r="B86" s="7"/>
      <c r="C86" s="7"/>
      <c r="D86" s="7"/>
      <c r="E86" s="7"/>
      <c r="F86" s="7"/>
      <c r="G86" s="7"/>
      <c r="H86" s="7"/>
      <c r="I86" s="10"/>
      <c r="J86" s="10"/>
      <c r="K86" s="7"/>
      <c r="L86" s="11"/>
      <c r="M86" s="7"/>
      <c r="N86" s="10"/>
      <c r="O86" s="7"/>
    </row>
    <row r="87" spans="1:15" x14ac:dyDescent="0.3">
      <c r="A87" s="7"/>
      <c r="B87" s="7"/>
      <c r="C87" s="7"/>
      <c r="D87" s="7"/>
      <c r="E87" s="7"/>
      <c r="F87" s="7"/>
      <c r="G87" s="7"/>
      <c r="H87" s="7"/>
      <c r="I87" s="10"/>
      <c r="J87" s="10"/>
      <c r="K87" s="7"/>
      <c r="L87" s="11"/>
      <c r="M87" s="7"/>
      <c r="N87" s="10"/>
      <c r="O87" s="7"/>
    </row>
    <row r="88" spans="1:15" x14ac:dyDescent="0.3">
      <c r="A88" s="7"/>
      <c r="B88" s="7"/>
      <c r="C88" s="7"/>
      <c r="D88" s="7"/>
      <c r="E88" s="7"/>
      <c r="F88" s="7"/>
      <c r="G88" s="7"/>
      <c r="H88" s="7"/>
      <c r="I88" s="10"/>
      <c r="J88" s="10"/>
      <c r="K88" s="7"/>
      <c r="L88" s="11"/>
      <c r="M88" s="7"/>
      <c r="N88" s="10"/>
      <c r="O88" s="7"/>
    </row>
    <row r="89" spans="1:15" x14ac:dyDescent="0.3">
      <c r="A89" s="7"/>
      <c r="B89" s="7"/>
      <c r="C89" s="7"/>
      <c r="D89" s="7"/>
      <c r="E89" s="7"/>
      <c r="F89" s="7"/>
      <c r="G89" s="7"/>
      <c r="H89" s="7"/>
      <c r="I89" s="10"/>
      <c r="J89" s="10"/>
      <c r="K89" s="7"/>
      <c r="L89" s="11"/>
      <c r="M89" s="7"/>
      <c r="N89" s="10"/>
      <c r="O89" s="7"/>
    </row>
    <row r="90" spans="1:15" x14ac:dyDescent="0.3">
      <c r="A90" s="7"/>
      <c r="B90" s="7"/>
      <c r="C90" s="7"/>
      <c r="D90" s="7"/>
      <c r="E90" s="7"/>
      <c r="F90" s="7"/>
      <c r="G90" s="7"/>
      <c r="H90" s="7"/>
      <c r="I90" s="10"/>
      <c r="J90" s="10"/>
      <c r="K90" s="7"/>
      <c r="L90" s="11"/>
      <c r="M90" s="7"/>
      <c r="N90" s="10"/>
      <c r="O90" s="7"/>
    </row>
    <row r="91" spans="1:15" x14ac:dyDescent="0.3">
      <c r="A91" s="7"/>
      <c r="B91" s="7"/>
      <c r="C91" s="7"/>
      <c r="D91" s="7"/>
      <c r="E91" s="7"/>
      <c r="F91" s="7"/>
      <c r="G91" s="7"/>
      <c r="H91" s="7"/>
      <c r="I91" s="10"/>
      <c r="J91" s="10"/>
      <c r="K91" s="7"/>
      <c r="L91" s="11"/>
      <c r="M91" s="7"/>
      <c r="N91" s="10"/>
      <c r="O91" s="7"/>
    </row>
    <row r="92" spans="1:15" x14ac:dyDescent="0.3">
      <c r="A92" s="7"/>
      <c r="B92" s="7"/>
      <c r="C92" s="7"/>
      <c r="D92" s="7"/>
      <c r="E92" s="7"/>
      <c r="F92" s="7"/>
      <c r="G92" s="7"/>
      <c r="H92" s="7"/>
      <c r="I92" s="10"/>
      <c r="J92" s="10"/>
      <c r="K92" s="7"/>
      <c r="L92" s="11"/>
      <c r="M92" s="7"/>
      <c r="N92" s="10"/>
      <c r="O92" s="7"/>
    </row>
    <row r="93" spans="1:15" x14ac:dyDescent="0.3">
      <c r="A93" s="7"/>
      <c r="B93" s="7"/>
      <c r="C93" s="7"/>
      <c r="D93" s="7"/>
      <c r="E93" s="7"/>
      <c r="F93" s="7"/>
      <c r="G93" s="7"/>
      <c r="H93" s="7"/>
      <c r="I93" s="10"/>
      <c r="J93" s="10"/>
      <c r="K93" s="7"/>
      <c r="L93" s="11"/>
      <c r="M93" s="7"/>
      <c r="N93" s="10"/>
      <c r="O93" s="7"/>
    </row>
    <row r="94" spans="1:15" x14ac:dyDescent="0.3">
      <c r="A94" s="7"/>
      <c r="B94" s="7"/>
      <c r="C94" s="7"/>
      <c r="D94" s="7"/>
      <c r="E94" s="7"/>
      <c r="F94" s="7"/>
      <c r="G94" s="7"/>
      <c r="H94" s="7"/>
      <c r="I94" s="10"/>
      <c r="J94" s="10"/>
      <c r="K94" s="7"/>
      <c r="L94" s="11"/>
      <c r="M94" s="7"/>
      <c r="N94" s="10"/>
      <c r="O94" s="7"/>
    </row>
    <row r="95" spans="1:15" x14ac:dyDescent="0.3">
      <c r="A95" s="7"/>
      <c r="B95" s="7"/>
      <c r="C95" s="7"/>
      <c r="D95" s="7"/>
      <c r="E95" s="7"/>
      <c r="F95" s="7"/>
      <c r="G95" s="7"/>
      <c r="H95" s="7"/>
      <c r="I95" s="10"/>
      <c r="J95" s="10"/>
      <c r="K95" s="7"/>
      <c r="L95" s="11"/>
      <c r="M95" s="7"/>
      <c r="N95" s="10"/>
      <c r="O95" s="7"/>
    </row>
    <row r="96" spans="1:15" x14ac:dyDescent="0.3">
      <c r="A96" s="7"/>
      <c r="B96" s="7"/>
      <c r="C96" s="7"/>
      <c r="D96" s="7"/>
      <c r="E96" s="7"/>
      <c r="F96" s="7"/>
      <c r="G96" s="7"/>
      <c r="H96" s="7"/>
      <c r="I96" s="10"/>
      <c r="J96" s="10"/>
      <c r="K96" s="7"/>
      <c r="L96" s="11"/>
      <c r="M96" s="7"/>
      <c r="N96" s="10"/>
      <c r="O96" s="7"/>
    </row>
    <row r="97" spans="1:15" x14ac:dyDescent="0.3">
      <c r="A97" s="7"/>
      <c r="B97" s="7"/>
      <c r="C97" s="7"/>
      <c r="D97" s="7"/>
      <c r="E97" s="7"/>
      <c r="F97" s="7"/>
      <c r="G97" s="7"/>
      <c r="H97" s="7"/>
      <c r="I97" s="10"/>
      <c r="J97" s="10"/>
      <c r="K97" s="7"/>
      <c r="L97" s="11"/>
      <c r="M97" s="7"/>
      <c r="N97" s="10"/>
      <c r="O97" s="7"/>
    </row>
    <row r="98" spans="1:15" x14ac:dyDescent="0.3">
      <c r="A98" s="7"/>
      <c r="B98" s="7"/>
      <c r="C98" s="7"/>
      <c r="D98" s="7"/>
      <c r="E98" s="7"/>
      <c r="F98" s="7"/>
      <c r="G98" s="7"/>
      <c r="H98" s="7"/>
      <c r="I98" s="10"/>
      <c r="J98" s="10"/>
      <c r="K98" s="7"/>
      <c r="L98" s="11"/>
      <c r="M98" s="7"/>
      <c r="N98" s="10"/>
      <c r="O98" s="7"/>
    </row>
    <row r="99" spans="1:15" x14ac:dyDescent="0.3">
      <c r="A99" s="7"/>
      <c r="B99" s="7"/>
      <c r="C99" s="7"/>
      <c r="D99" s="7"/>
      <c r="E99" s="7"/>
      <c r="F99" s="7"/>
      <c r="G99" s="7"/>
      <c r="H99" s="7"/>
      <c r="I99" s="10"/>
      <c r="J99" s="10"/>
      <c r="K99" s="7"/>
      <c r="L99" s="11"/>
      <c r="M99" s="7"/>
      <c r="N99" s="10"/>
      <c r="O99" s="7"/>
    </row>
    <row r="100" spans="1:15" x14ac:dyDescent="0.3">
      <c r="A100" s="7"/>
      <c r="B100" s="7"/>
      <c r="C100" s="7"/>
      <c r="D100" s="7"/>
      <c r="E100" s="7"/>
      <c r="F100" s="7"/>
      <c r="G100" s="7"/>
      <c r="H100" s="7"/>
      <c r="I100" s="10"/>
      <c r="J100" s="10"/>
      <c r="K100" s="7"/>
      <c r="L100" s="11"/>
      <c r="M100" s="7"/>
      <c r="N100" s="10"/>
      <c r="O100" s="7"/>
    </row>
    <row r="101" spans="1:15" x14ac:dyDescent="0.3">
      <c r="A101" s="7"/>
      <c r="B101" s="7"/>
      <c r="C101" s="7"/>
      <c r="D101" s="7"/>
      <c r="E101" s="7"/>
      <c r="F101" s="7"/>
      <c r="G101" s="7"/>
      <c r="H101" s="7"/>
      <c r="I101" s="10"/>
      <c r="J101" s="10"/>
      <c r="K101" s="7"/>
      <c r="L101" s="11"/>
      <c r="M101" s="7"/>
      <c r="N101" s="10"/>
      <c r="O101" s="7"/>
    </row>
    <row r="102" spans="1:15" x14ac:dyDescent="0.3">
      <c r="A102" s="7"/>
      <c r="B102" s="7"/>
      <c r="C102" s="7"/>
      <c r="D102" s="7"/>
      <c r="E102" s="7"/>
      <c r="F102" s="7"/>
      <c r="G102" s="7"/>
      <c r="H102" s="7"/>
      <c r="I102" s="10"/>
      <c r="J102" s="10"/>
      <c r="K102" s="7"/>
      <c r="L102" s="11"/>
      <c r="M102" s="7"/>
      <c r="N102" s="10"/>
      <c r="O102" s="7"/>
    </row>
    <row r="103" spans="1:15" x14ac:dyDescent="0.3">
      <c r="A103" s="7"/>
      <c r="B103" s="7"/>
      <c r="C103" s="7"/>
      <c r="D103" s="7"/>
      <c r="E103" s="7"/>
      <c r="F103" s="7"/>
      <c r="G103" s="7"/>
      <c r="H103" s="7"/>
      <c r="I103" s="10"/>
      <c r="J103" s="10"/>
      <c r="K103" s="7"/>
      <c r="L103" s="11"/>
      <c r="M103" s="7"/>
      <c r="N103" s="10"/>
      <c r="O103" s="7"/>
    </row>
    <row r="104" spans="1:15" x14ac:dyDescent="0.3">
      <c r="A104" s="7"/>
      <c r="B104" s="7"/>
      <c r="C104" s="7"/>
      <c r="D104" s="7"/>
      <c r="E104" s="7"/>
      <c r="F104" s="7"/>
      <c r="G104" s="7"/>
      <c r="H104" s="7"/>
      <c r="I104" s="10"/>
      <c r="J104" s="10"/>
      <c r="K104" s="7"/>
      <c r="L104" s="11"/>
      <c r="M104" s="7"/>
      <c r="N104" s="10"/>
      <c r="O104" s="7"/>
    </row>
    <row r="105" spans="1:15" x14ac:dyDescent="0.3">
      <c r="A105" s="7"/>
      <c r="B105" s="7"/>
      <c r="C105" s="7"/>
      <c r="D105" s="7"/>
      <c r="E105" s="7"/>
      <c r="F105" s="7"/>
      <c r="G105" s="7"/>
      <c r="H105" s="7"/>
      <c r="I105" s="10"/>
      <c r="J105" s="10"/>
      <c r="K105" s="7"/>
      <c r="L105" s="11"/>
      <c r="M105" s="7"/>
      <c r="N105" s="10"/>
      <c r="O105" s="7"/>
    </row>
    <row r="106" spans="1:15" x14ac:dyDescent="0.3">
      <c r="A106" s="7"/>
      <c r="B106" s="7"/>
      <c r="C106" s="7"/>
      <c r="D106" s="7"/>
      <c r="E106" s="7"/>
      <c r="F106" s="7"/>
      <c r="G106" s="7"/>
      <c r="H106" s="7"/>
      <c r="I106" s="10"/>
      <c r="J106" s="10"/>
      <c r="K106" s="7"/>
      <c r="L106" s="11"/>
      <c r="M106" s="7"/>
      <c r="N106" s="10"/>
      <c r="O106" s="7"/>
    </row>
    <row r="107" spans="1:15" x14ac:dyDescent="0.3">
      <c r="A107" s="7"/>
      <c r="B107" s="7"/>
      <c r="C107" s="7"/>
      <c r="D107" s="7"/>
      <c r="E107" s="7"/>
      <c r="F107" s="7"/>
      <c r="G107" s="7"/>
      <c r="H107" s="7"/>
      <c r="I107" s="10"/>
      <c r="J107" s="10"/>
      <c r="K107" s="7"/>
      <c r="L107" s="11"/>
      <c r="M107" s="7"/>
      <c r="N107" s="10"/>
      <c r="O107" s="7"/>
    </row>
    <row r="108" spans="1:15" x14ac:dyDescent="0.3">
      <c r="A108" s="7"/>
      <c r="B108" s="7"/>
      <c r="C108" s="7"/>
      <c r="D108" s="7"/>
      <c r="E108" s="7"/>
      <c r="F108" s="7"/>
      <c r="G108" s="7"/>
      <c r="H108" s="7"/>
      <c r="I108" s="10"/>
      <c r="J108" s="10"/>
      <c r="K108" s="7"/>
      <c r="L108" s="11"/>
      <c r="M108" s="7"/>
      <c r="N108" s="10"/>
      <c r="O108" s="7"/>
    </row>
    <row r="109" spans="1:15" x14ac:dyDescent="0.3">
      <c r="A109" s="7"/>
      <c r="B109" s="7"/>
      <c r="C109" s="7"/>
      <c r="D109" s="7"/>
      <c r="E109" s="7"/>
      <c r="F109" s="7"/>
      <c r="G109" s="7"/>
      <c r="H109" s="7"/>
      <c r="I109" s="10"/>
      <c r="J109" s="10"/>
      <c r="K109" s="7"/>
      <c r="L109" s="11"/>
      <c r="M109" s="7"/>
      <c r="N109" s="10"/>
      <c r="O109" s="7"/>
    </row>
    <row r="110" spans="1:15" x14ac:dyDescent="0.3">
      <c r="A110" s="7"/>
      <c r="B110" s="7"/>
      <c r="C110" s="7"/>
      <c r="D110" s="7"/>
      <c r="E110" s="7"/>
      <c r="F110" s="7"/>
      <c r="G110" s="7"/>
      <c r="H110" s="7"/>
      <c r="I110" s="10"/>
      <c r="J110" s="10"/>
      <c r="K110" s="7"/>
      <c r="L110" s="11"/>
      <c r="M110" s="7"/>
      <c r="N110" s="10"/>
      <c r="O110" s="7"/>
    </row>
    <row r="111" spans="1:15" x14ac:dyDescent="0.3">
      <c r="A111" s="7"/>
      <c r="B111" s="7"/>
      <c r="C111" s="7"/>
      <c r="D111" s="7"/>
      <c r="E111" s="7"/>
      <c r="F111" s="7"/>
      <c r="G111" s="7"/>
      <c r="H111" s="7"/>
      <c r="I111" s="10"/>
      <c r="J111" s="10"/>
      <c r="K111" s="7"/>
      <c r="L111" s="11"/>
      <c r="M111" s="7"/>
      <c r="N111" s="10"/>
      <c r="O111" s="7"/>
    </row>
    <row r="112" spans="1:15" x14ac:dyDescent="0.3">
      <c r="A112" s="7"/>
      <c r="B112" s="7"/>
      <c r="C112" s="7"/>
      <c r="D112" s="7"/>
      <c r="E112" s="7"/>
      <c r="F112" s="7"/>
      <c r="G112" s="7"/>
      <c r="H112" s="7"/>
      <c r="I112" s="10"/>
      <c r="J112" s="10"/>
      <c r="K112" s="7"/>
      <c r="L112" s="11"/>
      <c r="M112" s="7"/>
      <c r="N112" s="10"/>
      <c r="O112" s="7"/>
    </row>
    <row r="113" spans="1:15" x14ac:dyDescent="0.3">
      <c r="A113" s="7"/>
      <c r="B113" s="7"/>
      <c r="C113" s="7"/>
      <c r="D113" s="7"/>
      <c r="E113" s="7"/>
      <c r="F113" s="7"/>
      <c r="G113" s="7"/>
      <c r="H113" s="7"/>
      <c r="I113" s="10"/>
      <c r="J113" s="10"/>
      <c r="K113" s="7"/>
      <c r="L113" s="11"/>
      <c r="M113" s="7"/>
      <c r="N113" s="10"/>
      <c r="O113" s="7"/>
    </row>
    <row r="114" spans="1:15" x14ac:dyDescent="0.3">
      <c r="A114" s="7"/>
      <c r="B114" s="7"/>
      <c r="C114" s="7"/>
      <c r="D114" s="7"/>
      <c r="E114" s="7"/>
      <c r="F114" s="7"/>
      <c r="G114" s="7"/>
      <c r="H114" s="7"/>
      <c r="I114" s="10"/>
      <c r="J114" s="10"/>
      <c r="K114" s="7"/>
      <c r="L114" s="11"/>
      <c r="M114" s="7"/>
      <c r="N114" s="10"/>
      <c r="O114" s="7"/>
    </row>
    <row r="115" spans="1:15" x14ac:dyDescent="0.3">
      <c r="A115" s="7"/>
      <c r="B115" s="7"/>
      <c r="C115" s="7"/>
      <c r="D115" s="7"/>
      <c r="E115" s="7"/>
      <c r="F115" s="7"/>
      <c r="G115" s="7"/>
      <c r="H115" s="7"/>
      <c r="I115" s="10"/>
      <c r="J115" s="10"/>
      <c r="K115" s="7"/>
      <c r="L115" s="11"/>
      <c r="M115" s="7"/>
      <c r="N115" s="10"/>
      <c r="O115" s="7"/>
    </row>
    <row r="116" spans="1:15" x14ac:dyDescent="0.3">
      <c r="A116" s="7"/>
      <c r="B116" s="7"/>
      <c r="C116" s="7"/>
      <c r="D116" s="7"/>
      <c r="E116" s="7"/>
      <c r="F116" s="7"/>
      <c r="G116" s="7"/>
      <c r="H116" s="7"/>
      <c r="I116" s="10"/>
      <c r="J116" s="10"/>
      <c r="K116" s="7"/>
      <c r="L116" s="11"/>
      <c r="M116" s="7"/>
      <c r="N116" s="10"/>
      <c r="O116" s="7"/>
    </row>
    <row r="117" spans="1:15" x14ac:dyDescent="0.3">
      <c r="A117" s="7"/>
      <c r="B117" s="7"/>
      <c r="C117" s="7"/>
      <c r="D117" s="7"/>
      <c r="E117" s="7"/>
      <c r="F117" s="7"/>
      <c r="G117" s="7"/>
      <c r="H117" s="7"/>
      <c r="I117" s="10"/>
      <c r="J117" s="10"/>
      <c r="K117" s="7"/>
      <c r="L117" s="11"/>
      <c r="M117" s="7"/>
      <c r="N117" s="10"/>
      <c r="O117" s="7"/>
    </row>
    <row r="118" spans="1:15" x14ac:dyDescent="0.3">
      <c r="A118" s="7"/>
      <c r="B118" s="7"/>
      <c r="C118" s="7"/>
      <c r="D118" s="7"/>
      <c r="E118" s="7"/>
      <c r="F118" s="7"/>
      <c r="G118" s="7"/>
      <c r="H118" s="7"/>
      <c r="I118" s="10"/>
      <c r="J118" s="10"/>
      <c r="K118" s="7"/>
      <c r="L118" s="11"/>
      <c r="M118" s="7"/>
      <c r="N118" s="10"/>
      <c r="O118" s="7"/>
    </row>
    <row r="119" spans="1:15" x14ac:dyDescent="0.3">
      <c r="A119" s="7"/>
      <c r="B119" s="7"/>
      <c r="C119" s="7"/>
      <c r="D119" s="7"/>
      <c r="E119" s="7"/>
      <c r="F119" s="7"/>
      <c r="G119" s="7"/>
      <c r="H119" s="7"/>
      <c r="I119" s="10"/>
      <c r="J119" s="10"/>
      <c r="K119" s="7"/>
      <c r="L119" s="11"/>
      <c r="M119" s="7"/>
      <c r="N119" s="10"/>
      <c r="O119" s="7"/>
    </row>
    <row r="120" spans="1:15" x14ac:dyDescent="0.3">
      <c r="A120" s="7"/>
      <c r="B120" s="7"/>
      <c r="C120" s="7"/>
      <c r="D120" s="7"/>
      <c r="E120" s="7"/>
      <c r="F120" s="7"/>
      <c r="G120" s="7"/>
      <c r="H120" s="7"/>
      <c r="I120" s="10"/>
      <c r="J120" s="10"/>
      <c r="K120" s="7"/>
      <c r="L120" s="11"/>
      <c r="M120" s="7"/>
      <c r="N120" s="10"/>
      <c r="O120" s="7"/>
    </row>
    <row r="121" spans="1:15" x14ac:dyDescent="0.3">
      <c r="A121" s="7"/>
      <c r="B121" s="7"/>
      <c r="C121" s="7"/>
      <c r="D121" s="7"/>
      <c r="E121" s="7"/>
      <c r="F121" s="7"/>
      <c r="G121" s="7"/>
      <c r="H121" s="7"/>
      <c r="I121" s="10"/>
      <c r="J121" s="10"/>
      <c r="K121" s="7"/>
      <c r="L121" s="11"/>
      <c r="M121" s="7"/>
      <c r="N121" s="10"/>
      <c r="O121" s="7"/>
    </row>
    <row r="122" spans="1:15" x14ac:dyDescent="0.3">
      <c r="A122" s="7"/>
      <c r="B122" s="7"/>
      <c r="C122" s="7"/>
      <c r="D122" s="7"/>
      <c r="E122" s="7"/>
      <c r="F122" s="7"/>
      <c r="G122" s="7"/>
      <c r="H122" s="7"/>
      <c r="I122" s="10"/>
      <c r="J122" s="10"/>
      <c r="K122" s="7"/>
      <c r="L122" s="11"/>
      <c r="M122" s="7"/>
      <c r="N122" s="10"/>
      <c r="O122" s="7"/>
    </row>
    <row r="123" spans="1:15" x14ac:dyDescent="0.3">
      <c r="A123" s="7"/>
      <c r="B123" s="7"/>
      <c r="C123" s="7"/>
      <c r="D123" s="7"/>
      <c r="E123" s="7"/>
      <c r="F123" s="7"/>
      <c r="G123" s="7"/>
      <c r="H123" s="7"/>
      <c r="I123" s="10"/>
      <c r="J123" s="10"/>
      <c r="K123" s="7"/>
      <c r="L123" s="11"/>
      <c r="M123" s="7"/>
      <c r="N123" s="10"/>
      <c r="O123" s="7"/>
    </row>
    <row r="124" spans="1:15" x14ac:dyDescent="0.3">
      <c r="A124" s="7"/>
      <c r="B124" s="7"/>
      <c r="C124" s="7"/>
      <c r="D124" s="7"/>
      <c r="E124" s="7"/>
      <c r="F124" s="7"/>
      <c r="G124" s="7"/>
      <c r="H124" s="7"/>
      <c r="I124" s="10"/>
      <c r="J124" s="10"/>
      <c r="K124" s="7"/>
      <c r="L124" s="11"/>
      <c r="M124" s="7"/>
      <c r="N124" s="10"/>
      <c r="O124" s="7"/>
    </row>
    <row r="125" spans="1:15" x14ac:dyDescent="0.3">
      <c r="A125" s="7"/>
      <c r="B125" s="7"/>
      <c r="C125" s="7"/>
      <c r="D125" s="7"/>
      <c r="E125" s="7"/>
      <c r="F125" s="7"/>
      <c r="G125" s="7"/>
      <c r="H125" s="7"/>
      <c r="I125" s="10"/>
      <c r="J125" s="10"/>
      <c r="K125" s="7"/>
      <c r="L125" s="11"/>
      <c r="M125" s="7"/>
      <c r="N125" s="10"/>
      <c r="O125" s="7"/>
    </row>
    <row r="126" spans="1:15" x14ac:dyDescent="0.3">
      <c r="A126" s="7"/>
      <c r="B126" s="7"/>
      <c r="C126" s="7"/>
      <c r="D126" s="7"/>
      <c r="E126" s="7"/>
      <c r="F126" s="7"/>
      <c r="G126" s="7"/>
      <c r="H126" s="7"/>
      <c r="I126" s="10"/>
      <c r="J126" s="10"/>
      <c r="K126" s="7"/>
      <c r="L126" s="11"/>
      <c r="M126" s="7"/>
      <c r="N126" s="10"/>
      <c r="O126" s="7"/>
    </row>
    <row r="127" spans="1:15" x14ac:dyDescent="0.3">
      <c r="A127" s="7"/>
      <c r="B127" s="7"/>
      <c r="C127" s="7"/>
      <c r="D127" s="7"/>
      <c r="E127" s="7"/>
      <c r="F127" s="7"/>
      <c r="G127" s="7"/>
      <c r="H127" s="7"/>
      <c r="I127" s="10"/>
      <c r="J127" s="10"/>
      <c r="K127" s="7"/>
      <c r="L127" s="11"/>
      <c r="M127" s="7"/>
      <c r="N127" s="10"/>
      <c r="O127" s="7"/>
    </row>
    <row r="128" spans="1:15" x14ac:dyDescent="0.3">
      <c r="A128" s="7"/>
      <c r="B128" s="7"/>
      <c r="C128" s="7"/>
      <c r="D128" s="7"/>
      <c r="E128" s="7"/>
      <c r="F128" s="7"/>
      <c r="G128" s="7"/>
      <c r="H128" s="7"/>
      <c r="I128" s="10"/>
      <c r="J128" s="10"/>
      <c r="K128" s="7"/>
      <c r="L128" s="11"/>
      <c r="M128" s="7"/>
      <c r="N128" s="10"/>
      <c r="O128" s="7"/>
    </row>
    <row r="129" spans="1:15" x14ac:dyDescent="0.3">
      <c r="A129" s="7"/>
      <c r="B129" s="7"/>
      <c r="C129" s="7"/>
      <c r="D129" s="7"/>
      <c r="E129" s="7"/>
      <c r="F129" s="7"/>
      <c r="G129" s="7"/>
      <c r="H129" s="7"/>
      <c r="I129" s="10"/>
      <c r="J129" s="10"/>
      <c r="K129" s="7"/>
      <c r="L129" s="11"/>
      <c r="M129" s="7"/>
      <c r="N129" s="10"/>
      <c r="O129" s="7"/>
    </row>
    <row r="130" spans="1:15" x14ac:dyDescent="0.3">
      <c r="A130" s="7"/>
      <c r="B130" s="7"/>
      <c r="C130" s="7"/>
      <c r="D130" s="7"/>
      <c r="E130" s="7"/>
      <c r="F130" s="7"/>
      <c r="G130" s="7"/>
      <c r="H130" s="7"/>
      <c r="I130" s="10"/>
      <c r="J130" s="10"/>
      <c r="K130" s="7"/>
      <c r="L130" s="11"/>
      <c r="M130" s="7"/>
      <c r="N130" s="10"/>
      <c r="O130" s="7"/>
    </row>
    <row r="131" spans="1:15" x14ac:dyDescent="0.3">
      <c r="A131" s="7"/>
      <c r="B131" s="7"/>
      <c r="C131" s="7"/>
      <c r="D131" s="7"/>
      <c r="E131" s="7"/>
      <c r="F131" s="7"/>
      <c r="G131" s="7"/>
      <c r="H131" s="7"/>
      <c r="I131" s="10"/>
      <c r="J131" s="10"/>
      <c r="K131" s="7"/>
      <c r="L131" s="11"/>
      <c r="M131" s="7"/>
      <c r="N131" s="10"/>
      <c r="O131" s="7"/>
    </row>
    <row r="132" spans="1:15" x14ac:dyDescent="0.3">
      <c r="A132" s="7"/>
      <c r="B132" s="7"/>
      <c r="C132" s="7"/>
      <c r="D132" s="7"/>
      <c r="E132" s="7"/>
      <c r="F132" s="7"/>
      <c r="G132" s="7"/>
      <c r="H132" s="7"/>
      <c r="I132" s="10"/>
      <c r="J132" s="10"/>
      <c r="K132" s="7"/>
      <c r="L132" s="11"/>
      <c r="M132" s="7"/>
      <c r="N132" s="10"/>
      <c r="O132" s="7"/>
    </row>
    <row r="133" spans="1:15" x14ac:dyDescent="0.3">
      <c r="A133" s="7"/>
      <c r="B133" s="7"/>
      <c r="C133" s="7"/>
      <c r="D133" s="7"/>
      <c r="E133" s="7"/>
      <c r="F133" s="7"/>
      <c r="G133" s="7"/>
      <c r="H133" s="7"/>
      <c r="I133" s="10"/>
      <c r="J133" s="10"/>
      <c r="K133" s="7"/>
      <c r="L133" s="11"/>
      <c r="M133" s="7"/>
      <c r="N133" s="10"/>
      <c r="O133" s="7"/>
    </row>
    <row r="134" spans="1:15" x14ac:dyDescent="0.3">
      <c r="A134" s="7"/>
      <c r="B134" s="7"/>
      <c r="C134" s="7"/>
      <c r="D134" s="7"/>
      <c r="E134" s="7"/>
      <c r="F134" s="7"/>
      <c r="G134" s="7"/>
      <c r="H134" s="7"/>
      <c r="I134" s="10"/>
      <c r="J134" s="10"/>
      <c r="K134" s="7"/>
      <c r="L134" s="11"/>
      <c r="M134" s="7"/>
      <c r="N134" s="10"/>
      <c r="O134" s="7"/>
    </row>
    <row r="135" spans="1:15" x14ac:dyDescent="0.3">
      <c r="A135" s="7"/>
      <c r="B135" s="7"/>
      <c r="C135" s="7"/>
      <c r="D135" s="7"/>
      <c r="E135" s="7"/>
      <c r="F135" s="7"/>
      <c r="G135" s="7"/>
      <c r="H135" s="7"/>
      <c r="I135" s="10"/>
      <c r="J135" s="10"/>
      <c r="K135" s="7"/>
      <c r="L135" s="11"/>
      <c r="M135" s="7"/>
      <c r="N135" s="10"/>
      <c r="O135" s="7"/>
    </row>
    <row r="136" spans="1:15" x14ac:dyDescent="0.3">
      <c r="A136" s="7"/>
      <c r="B136" s="7"/>
      <c r="C136" s="7"/>
      <c r="D136" s="7"/>
      <c r="E136" s="7"/>
      <c r="F136" s="7"/>
      <c r="G136" s="7"/>
      <c r="H136" s="7"/>
      <c r="I136" s="10"/>
      <c r="J136" s="10"/>
      <c r="K136" s="7"/>
      <c r="L136" s="11"/>
      <c r="M136" s="7"/>
      <c r="N136" s="10"/>
      <c r="O136" s="7"/>
    </row>
    <row r="137" spans="1:15" x14ac:dyDescent="0.3">
      <c r="A137" s="7"/>
      <c r="B137" s="7"/>
      <c r="C137" s="7"/>
      <c r="D137" s="7"/>
      <c r="E137" s="7"/>
      <c r="F137" s="7"/>
      <c r="G137" s="7"/>
      <c r="H137" s="7"/>
      <c r="I137" s="10"/>
      <c r="J137" s="10"/>
      <c r="K137" s="7"/>
      <c r="L137" s="11"/>
      <c r="M137" s="7"/>
      <c r="N137" s="10"/>
      <c r="O137" s="7"/>
    </row>
    <row r="138" spans="1:15" x14ac:dyDescent="0.3">
      <c r="A138" s="7"/>
      <c r="B138" s="7"/>
      <c r="C138" s="7"/>
      <c r="D138" s="7"/>
      <c r="E138" s="7"/>
      <c r="F138" s="7"/>
      <c r="G138" s="7"/>
      <c r="H138" s="7"/>
      <c r="I138" s="10"/>
      <c r="J138" s="10"/>
      <c r="K138" s="7"/>
      <c r="L138" s="11"/>
      <c r="M138" s="7"/>
      <c r="N138" s="10"/>
      <c r="O138" s="7"/>
    </row>
    <row r="139" spans="1:15" x14ac:dyDescent="0.3">
      <c r="A139" s="7"/>
      <c r="B139" s="7"/>
      <c r="C139" s="7"/>
      <c r="D139" s="7"/>
      <c r="E139" s="7"/>
      <c r="F139" s="7"/>
      <c r="G139" s="7"/>
      <c r="H139" s="7"/>
      <c r="I139" s="10"/>
      <c r="J139" s="10"/>
      <c r="K139" s="7"/>
      <c r="L139" s="11"/>
      <c r="M139" s="7"/>
      <c r="N139" s="10"/>
      <c r="O139" s="7"/>
    </row>
    <row r="140" spans="1:15" x14ac:dyDescent="0.3">
      <c r="A140" s="7"/>
      <c r="B140" s="7"/>
      <c r="C140" s="7"/>
      <c r="D140" s="7"/>
      <c r="E140" s="7"/>
      <c r="F140" s="7"/>
      <c r="G140" s="7"/>
      <c r="H140" s="7"/>
      <c r="I140" s="10"/>
      <c r="J140" s="10"/>
      <c r="K140" s="7"/>
      <c r="L140" s="11"/>
      <c r="M140" s="7"/>
      <c r="N140" s="10"/>
      <c r="O140" s="7"/>
    </row>
    <row r="141" spans="1:15" x14ac:dyDescent="0.3">
      <c r="A141" s="7"/>
      <c r="B141" s="7"/>
      <c r="C141" s="7"/>
      <c r="D141" s="7"/>
      <c r="E141" s="7"/>
      <c r="F141" s="7"/>
      <c r="G141" s="7"/>
      <c r="H141" s="7"/>
      <c r="I141" s="10"/>
      <c r="J141" s="10"/>
      <c r="K141" s="7"/>
      <c r="L141" s="11"/>
      <c r="M141" s="7"/>
      <c r="N141" s="10"/>
      <c r="O141" s="7"/>
    </row>
    <row r="142" spans="1:15" x14ac:dyDescent="0.3">
      <c r="A142" s="7"/>
      <c r="B142" s="7"/>
      <c r="C142" s="7"/>
      <c r="D142" s="7"/>
      <c r="E142" s="7"/>
      <c r="F142" s="7"/>
      <c r="G142" s="7"/>
      <c r="H142" s="7"/>
      <c r="I142" s="10"/>
      <c r="J142" s="10"/>
      <c r="K142" s="7"/>
      <c r="L142" s="11"/>
      <c r="M142" s="7"/>
      <c r="N142" s="10"/>
      <c r="O142" s="7"/>
    </row>
    <row r="143" spans="1:15" x14ac:dyDescent="0.3">
      <c r="A143" s="7"/>
      <c r="B143" s="7"/>
      <c r="C143" s="7"/>
      <c r="D143" s="7"/>
      <c r="E143" s="7"/>
      <c r="F143" s="7"/>
      <c r="G143" s="7"/>
      <c r="H143" s="7"/>
      <c r="I143" s="10"/>
      <c r="J143" s="10"/>
      <c r="K143" s="7"/>
      <c r="L143" s="11"/>
      <c r="M143" s="7"/>
      <c r="N143" s="10"/>
      <c r="O143" s="7"/>
    </row>
    <row r="144" spans="1:15" x14ac:dyDescent="0.3">
      <c r="A144" s="7"/>
      <c r="B144" s="7"/>
      <c r="C144" s="7"/>
      <c r="D144" s="7"/>
      <c r="E144" s="7"/>
      <c r="F144" s="7"/>
      <c r="G144" s="7"/>
      <c r="H144" s="7"/>
      <c r="I144" s="10"/>
      <c r="J144" s="10"/>
      <c r="K144" s="7"/>
      <c r="L144" s="11"/>
      <c r="M144" s="7"/>
      <c r="N144" s="10"/>
      <c r="O144" s="7"/>
    </row>
    <row r="145" spans="1:15" x14ac:dyDescent="0.3">
      <c r="A145" s="7"/>
      <c r="B145" s="7"/>
      <c r="C145" s="7"/>
      <c r="D145" s="7"/>
      <c r="E145" s="7"/>
      <c r="F145" s="7"/>
      <c r="G145" s="7"/>
      <c r="H145" s="7"/>
      <c r="I145" s="10"/>
      <c r="J145" s="10"/>
      <c r="K145" s="7"/>
      <c r="L145" s="11"/>
      <c r="M145" s="7"/>
      <c r="N145" s="10"/>
      <c r="O145" s="7"/>
    </row>
    <row r="146" spans="1:15" x14ac:dyDescent="0.3">
      <c r="A146" s="7"/>
      <c r="B146" s="7"/>
      <c r="C146" s="7"/>
      <c r="D146" s="7"/>
      <c r="E146" s="7"/>
      <c r="F146" s="7"/>
      <c r="G146" s="7"/>
      <c r="H146" s="7"/>
      <c r="I146" s="10"/>
      <c r="J146" s="10"/>
      <c r="K146" s="7"/>
      <c r="L146" s="11"/>
      <c r="M146" s="7"/>
      <c r="N146" s="10"/>
      <c r="O146" s="7"/>
    </row>
    <row r="147" spans="1:15" x14ac:dyDescent="0.3">
      <c r="A147" s="7"/>
      <c r="B147" s="7"/>
      <c r="C147" s="7"/>
      <c r="D147" s="7"/>
      <c r="E147" s="7"/>
      <c r="F147" s="7"/>
      <c r="G147" s="7"/>
      <c r="H147" s="7"/>
      <c r="I147" s="10"/>
      <c r="J147" s="10"/>
      <c r="K147" s="7"/>
      <c r="L147" s="11"/>
      <c r="M147" s="7"/>
      <c r="N147" s="10"/>
      <c r="O147" s="7"/>
    </row>
    <row r="148" spans="1:15" x14ac:dyDescent="0.3">
      <c r="A148" s="7"/>
      <c r="B148" s="7"/>
      <c r="C148" s="7"/>
      <c r="D148" s="7"/>
      <c r="E148" s="7"/>
      <c r="F148" s="7"/>
      <c r="G148" s="7"/>
      <c r="H148" s="7"/>
      <c r="I148" s="10"/>
      <c r="J148" s="10"/>
      <c r="K148" s="7"/>
      <c r="L148" s="11"/>
      <c r="M148" s="7"/>
      <c r="N148" s="10"/>
      <c r="O148" s="7"/>
    </row>
    <row r="149" spans="1:15" x14ac:dyDescent="0.3">
      <c r="A149" s="7"/>
      <c r="B149" s="7"/>
      <c r="C149" s="7"/>
      <c r="D149" s="7"/>
      <c r="E149" s="7"/>
      <c r="F149" s="7"/>
      <c r="G149" s="7"/>
      <c r="H149" s="7"/>
      <c r="I149" s="10"/>
      <c r="J149" s="10"/>
      <c r="K149" s="7"/>
      <c r="L149" s="11"/>
      <c r="M149" s="7"/>
      <c r="N149" s="10"/>
      <c r="O149" s="7"/>
    </row>
    <row r="150" spans="1:15" x14ac:dyDescent="0.3">
      <c r="A150" s="7"/>
      <c r="B150" s="7"/>
      <c r="C150" s="7"/>
      <c r="D150" s="7"/>
      <c r="E150" s="7"/>
      <c r="F150" s="7"/>
      <c r="G150" s="7"/>
      <c r="H150" s="7"/>
      <c r="I150" s="10"/>
      <c r="J150" s="10"/>
      <c r="K150" s="7"/>
      <c r="L150" s="11"/>
      <c r="M150" s="7"/>
      <c r="N150" s="10"/>
      <c r="O150" s="7"/>
    </row>
    <row r="151" spans="1:15" x14ac:dyDescent="0.3">
      <c r="A151" s="7"/>
      <c r="B151" s="7"/>
      <c r="C151" s="7"/>
      <c r="D151" s="7"/>
      <c r="E151" s="7"/>
      <c r="F151" s="7"/>
      <c r="G151" s="7"/>
      <c r="H151" s="7"/>
      <c r="I151" s="10"/>
      <c r="J151" s="10"/>
      <c r="K151" s="7"/>
      <c r="L151" s="11"/>
      <c r="M151" s="7"/>
      <c r="N151" s="10"/>
      <c r="O151" s="7"/>
    </row>
    <row r="152" spans="1:15" x14ac:dyDescent="0.3">
      <c r="A152" s="7"/>
      <c r="B152" s="7"/>
      <c r="C152" s="7"/>
      <c r="D152" s="7"/>
      <c r="E152" s="7"/>
      <c r="F152" s="7"/>
      <c r="G152" s="7"/>
      <c r="H152" s="7"/>
      <c r="I152" s="10"/>
      <c r="J152" s="10"/>
      <c r="K152" s="7"/>
      <c r="L152" s="11"/>
      <c r="M152" s="7"/>
      <c r="N152" s="10"/>
      <c r="O152" s="7"/>
    </row>
    <row r="153" spans="1:15" x14ac:dyDescent="0.3">
      <c r="A153" s="7"/>
      <c r="B153" s="7"/>
      <c r="C153" s="7"/>
      <c r="D153" s="7"/>
      <c r="E153" s="7"/>
      <c r="F153" s="7"/>
      <c r="G153" s="7"/>
      <c r="H153" s="7"/>
      <c r="I153" s="10"/>
      <c r="J153" s="10"/>
      <c r="K153" s="7"/>
      <c r="L153" s="11"/>
      <c r="M153" s="7"/>
      <c r="N153" s="10"/>
      <c r="O153" s="7"/>
    </row>
    <row r="154" spans="1:15" x14ac:dyDescent="0.3">
      <c r="A154" s="7"/>
      <c r="B154" s="7"/>
      <c r="C154" s="7"/>
      <c r="D154" s="7"/>
      <c r="E154" s="7"/>
      <c r="F154" s="7"/>
      <c r="G154" s="7"/>
      <c r="H154" s="7"/>
      <c r="I154" s="10"/>
      <c r="J154" s="10"/>
      <c r="K154" s="7"/>
      <c r="L154" s="11"/>
      <c r="M154" s="7"/>
      <c r="N154" s="10"/>
      <c r="O154" s="7"/>
    </row>
    <row r="155" spans="1:15" x14ac:dyDescent="0.3">
      <c r="A155" s="7"/>
      <c r="B155" s="7"/>
      <c r="C155" s="7"/>
      <c r="D155" s="7"/>
      <c r="E155" s="7"/>
      <c r="F155" s="7"/>
      <c r="G155" s="7"/>
      <c r="H155" s="7"/>
      <c r="I155" s="10"/>
      <c r="J155" s="10"/>
      <c r="K155" s="7"/>
      <c r="L155" s="11"/>
      <c r="M155" s="7"/>
      <c r="N155" s="10"/>
      <c r="O155" s="7"/>
    </row>
    <row r="156" spans="1:15" x14ac:dyDescent="0.3">
      <c r="A156" s="7"/>
      <c r="B156" s="7"/>
      <c r="C156" s="7"/>
      <c r="D156" s="7"/>
      <c r="E156" s="7"/>
      <c r="F156" s="7"/>
      <c r="G156" s="7"/>
      <c r="H156" s="7"/>
      <c r="I156" s="10"/>
      <c r="J156" s="10"/>
      <c r="K156" s="7"/>
      <c r="L156" s="11"/>
      <c r="M156" s="7"/>
      <c r="N156" s="10"/>
      <c r="O156" s="7"/>
    </row>
    <row r="157" spans="1:15" x14ac:dyDescent="0.3">
      <c r="A157" s="7"/>
      <c r="B157" s="7"/>
      <c r="C157" s="7"/>
      <c r="D157" s="7"/>
      <c r="E157" s="7"/>
      <c r="F157" s="7"/>
      <c r="G157" s="7"/>
      <c r="H157" s="7"/>
      <c r="I157" s="10"/>
      <c r="J157" s="10"/>
      <c r="K157" s="7"/>
      <c r="L157" s="11"/>
      <c r="M157" s="7"/>
      <c r="N157" s="10"/>
      <c r="O157" s="7"/>
    </row>
    <row r="158" spans="1:15" x14ac:dyDescent="0.3">
      <c r="A158" s="7"/>
      <c r="B158" s="7"/>
      <c r="C158" s="7"/>
      <c r="D158" s="7"/>
      <c r="E158" s="7"/>
      <c r="F158" s="7"/>
      <c r="G158" s="7"/>
      <c r="H158" s="7"/>
      <c r="I158" s="10"/>
      <c r="J158" s="10"/>
      <c r="K158" s="7"/>
      <c r="L158" s="11"/>
      <c r="M158" s="7"/>
      <c r="N158" s="10"/>
      <c r="O158" s="7"/>
    </row>
    <row r="159" spans="1:15" x14ac:dyDescent="0.3">
      <c r="A159" s="7"/>
      <c r="B159" s="7"/>
      <c r="C159" s="7"/>
      <c r="D159" s="7"/>
      <c r="E159" s="7"/>
      <c r="F159" s="7"/>
      <c r="G159" s="7"/>
      <c r="H159" s="7"/>
      <c r="I159" s="10"/>
      <c r="J159" s="10"/>
      <c r="K159" s="7"/>
      <c r="L159" s="11"/>
      <c r="M159" s="7"/>
      <c r="N159" s="10"/>
      <c r="O159" s="7"/>
    </row>
    <row r="160" spans="1:15" x14ac:dyDescent="0.3">
      <c r="A160" s="7"/>
      <c r="B160" s="7"/>
      <c r="C160" s="7"/>
      <c r="D160" s="7"/>
      <c r="E160" s="7"/>
      <c r="F160" s="7"/>
      <c r="G160" s="7"/>
      <c r="H160" s="7"/>
      <c r="I160" s="10"/>
      <c r="J160" s="10"/>
      <c r="K160" s="7"/>
      <c r="L160" s="11"/>
      <c r="M160" s="7"/>
      <c r="N160" s="10"/>
      <c r="O160" s="7"/>
    </row>
    <row r="161" spans="1:15" x14ac:dyDescent="0.3">
      <c r="A161" s="7"/>
      <c r="B161" s="7"/>
      <c r="C161" s="7"/>
      <c r="D161" s="7"/>
      <c r="E161" s="7"/>
      <c r="F161" s="7"/>
      <c r="G161" s="7"/>
      <c r="H161" s="7"/>
      <c r="I161" s="10"/>
      <c r="J161" s="10"/>
      <c r="K161" s="7"/>
      <c r="L161" s="11"/>
      <c r="M161" s="7"/>
      <c r="N161" s="10"/>
      <c r="O161" s="7"/>
    </row>
    <row r="162" spans="1:15" x14ac:dyDescent="0.3">
      <c r="A162" s="7"/>
      <c r="B162" s="7"/>
      <c r="C162" s="7"/>
      <c r="D162" s="7"/>
      <c r="E162" s="7"/>
      <c r="F162" s="7"/>
      <c r="G162" s="7"/>
      <c r="H162" s="7"/>
      <c r="I162" s="10"/>
      <c r="J162" s="10"/>
      <c r="K162" s="7"/>
      <c r="L162" s="11"/>
      <c r="M162" s="7"/>
      <c r="N162" s="10"/>
      <c r="O162" s="7"/>
    </row>
    <row r="163" spans="1:15" x14ac:dyDescent="0.3">
      <c r="A163" s="7"/>
      <c r="B163" s="7"/>
      <c r="C163" s="7"/>
      <c r="D163" s="7"/>
      <c r="E163" s="7"/>
      <c r="F163" s="7"/>
      <c r="G163" s="7"/>
      <c r="H163" s="7"/>
      <c r="I163" s="10"/>
      <c r="J163" s="10"/>
      <c r="K163" s="7"/>
      <c r="L163" s="11"/>
      <c r="M163" s="7"/>
      <c r="N163" s="10"/>
      <c r="O163" s="7"/>
    </row>
    <row r="164" spans="1:15" x14ac:dyDescent="0.3">
      <c r="A164" s="7"/>
      <c r="B164" s="7"/>
      <c r="C164" s="7"/>
      <c r="D164" s="7"/>
      <c r="E164" s="7"/>
      <c r="F164" s="7"/>
      <c r="G164" s="7"/>
      <c r="H164" s="7"/>
      <c r="I164" s="10"/>
      <c r="J164" s="10"/>
      <c r="K164" s="7"/>
      <c r="L164" s="11"/>
      <c r="M164" s="7"/>
      <c r="N164" s="10"/>
      <c r="O164" s="7"/>
    </row>
    <row r="165" spans="1:15" x14ac:dyDescent="0.3">
      <c r="A165" s="7"/>
      <c r="B165" s="7"/>
      <c r="C165" s="7"/>
      <c r="D165" s="7"/>
      <c r="E165" s="7"/>
      <c r="F165" s="7"/>
      <c r="G165" s="7"/>
      <c r="H165" s="7"/>
      <c r="I165" s="10"/>
      <c r="J165" s="10"/>
      <c r="K165" s="7"/>
      <c r="L165" s="11"/>
      <c r="M165" s="7"/>
      <c r="N165" s="10"/>
      <c r="O165" s="7"/>
    </row>
    <row r="166" spans="1:15" x14ac:dyDescent="0.3">
      <c r="A166" s="7"/>
      <c r="B166" s="7"/>
      <c r="C166" s="7"/>
      <c r="D166" s="7"/>
      <c r="E166" s="7"/>
      <c r="F166" s="7"/>
      <c r="G166" s="7"/>
      <c r="H166" s="7"/>
      <c r="I166" s="10"/>
      <c r="J166" s="10"/>
      <c r="K166" s="7"/>
      <c r="L166" s="11"/>
      <c r="M166" s="7"/>
      <c r="N166" s="10"/>
      <c r="O166" s="7"/>
    </row>
    <row r="167" spans="1:15" x14ac:dyDescent="0.3">
      <c r="A167" s="7"/>
      <c r="B167" s="7"/>
      <c r="C167" s="7"/>
      <c r="D167" s="7"/>
      <c r="E167" s="7"/>
      <c r="F167" s="7"/>
      <c r="G167" s="7"/>
      <c r="H167" s="7"/>
      <c r="I167" s="10"/>
      <c r="J167" s="10"/>
      <c r="K167" s="7"/>
      <c r="L167" s="11"/>
      <c r="M167" s="7"/>
      <c r="N167" s="10"/>
      <c r="O167" s="7"/>
    </row>
    <row r="168" spans="1:15" x14ac:dyDescent="0.3">
      <c r="A168" s="7"/>
      <c r="B168" s="7"/>
      <c r="C168" s="7"/>
      <c r="D168" s="7"/>
      <c r="E168" s="7"/>
      <c r="F168" s="7"/>
      <c r="G168" s="7"/>
      <c r="H168" s="7"/>
      <c r="I168" s="10"/>
      <c r="J168" s="10"/>
      <c r="K168" s="7"/>
      <c r="L168" s="11"/>
      <c r="M168" s="7"/>
      <c r="N168" s="10"/>
      <c r="O168" s="7"/>
    </row>
    <row r="169" spans="1:15" x14ac:dyDescent="0.3">
      <c r="A169" s="7"/>
      <c r="B169" s="7"/>
      <c r="C169" s="7"/>
      <c r="D169" s="7"/>
      <c r="E169" s="7"/>
      <c r="F169" s="7"/>
      <c r="G169" s="7"/>
      <c r="H169" s="7"/>
      <c r="I169" s="10"/>
      <c r="J169" s="10"/>
      <c r="K169" s="7"/>
      <c r="L169" s="11"/>
      <c r="M169" s="7"/>
      <c r="N169" s="10"/>
      <c r="O169" s="7"/>
    </row>
    <row r="170" spans="1:15" x14ac:dyDescent="0.3">
      <c r="A170" s="7"/>
      <c r="B170" s="7"/>
      <c r="C170" s="7"/>
      <c r="D170" s="7"/>
      <c r="E170" s="7"/>
      <c r="F170" s="7"/>
      <c r="G170" s="7"/>
      <c r="H170" s="7"/>
      <c r="I170" s="10"/>
      <c r="J170" s="10"/>
      <c r="K170" s="7"/>
      <c r="L170" s="11"/>
      <c r="M170" s="7"/>
      <c r="N170" s="10"/>
      <c r="O170" s="7"/>
    </row>
    <row r="171" spans="1:15" x14ac:dyDescent="0.3">
      <c r="A171" s="7"/>
      <c r="B171" s="7"/>
      <c r="C171" s="7"/>
      <c r="D171" s="7"/>
      <c r="E171" s="7"/>
      <c r="F171" s="7"/>
      <c r="G171" s="7"/>
      <c r="H171" s="7"/>
      <c r="I171" s="10"/>
      <c r="J171" s="10"/>
      <c r="K171" s="7"/>
      <c r="L171" s="11"/>
      <c r="M171" s="7"/>
      <c r="N171" s="10"/>
      <c r="O171" s="7"/>
    </row>
    <row r="172" spans="1:15" x14ac:dyDescent="0.3">
      <c r="A172" s="7"/>
      <c r="B172" s="7"/>
      <c r="C172" s="7"/>
      <c r="D172" s="7"/>
      <c r="E172" s="7"/>
      <c r="F172" s="7"/>
      <c r="G172" s="7"/>
      <c r="H172" s="7"/>
      <c r="I172" s="10"/>
      <c r="J172" s="10"/>
      <c r="K172" s="7"/>
      <c r="L172" s="11"/>
      <c r="M172" s="7"/>
      <c r="N172" s="10"/>
      <c r="O172" s="7"/>
    </row>
    <row r="173" spans="1:15" x14ac:dyDescent="0.3">
      <c r="A173" s="7"/>
      <c r="B173" s="7"/>
      <c r="C173" s="7"/>
      <c r="D173" s="7"/>
      <c r="E173" s="7"/>
      <c r="F173" s="7"/>
      <c r="G173" s="7"/>
      <c r="H173" s="7"/>
      <c r="I173" s="10"/>
      <c r="J173" s="10"/>
      <c r="K173" s="7"/>
      <c r="L173" s="11"/>
      <c r="M173" s="7"/>
      <c r="N173" s="10"/>
      <c r="O173" s="7"/>
    </row>
    <row r="174" spans="1:15" x14ac:dyDescent="0.3">
      <c r="A174" s="7"/>
      <c r="B174" s="7"/>
      <c r="C174" s="7"/>
      <c r="D174" s="7"/>
      <c r="E174" s="7"/>
      <c r="F174" s="7"/>
      <c r="G174" s="7"/>
      <c r="H174" s="7"/>
      <c r="I174" s="10"/>
      <c r="J174" s="10"/>
      <c r="K174" s="7"/>
      <c r="L174" s="11"/>
      <c r="M174" s="7"/>
      <c r="N174" s="10"/>
      <c r="O174" s="7"/>
    </row>
    <row r="175" spans="1:15" x14ac:dyDescent="0.3">
      <c r="A175" s="7"/>
      <c r="B175" s="7"/>
      <c r="C175" s="7"/>
      <c r="D175" s="7"/>
      <c r="E175" s="7"/>
      <c r="F175" s="7"/>
      <c r="G175" s="7"/>
      <c r="H175" s="7"/>
      <c r="I175" s="10"/>
      <c r="J175" s="10"/>
      <c r="K175" s="7"/>
      <c r="L175" s="11"/>
      <c r="M175" s="7"/>
      <c r="N175" s="10"/>
      <c r="O175" s="7"/>
    </row>
    <row r="176" spans="1:15" x14ac:dyDescent="0.3">
      <c r="A176" s="7"/>
      <c r="B176" s="7"/>
      <c r="C176" s="7"/>
      <c r="D176" s="7"/>
      <c r="E176" s="7"/>
      <c r="F176" s="7"/>
      <c r="G176" s="7"/>
      <c r="H176" s="7"/>
      <c r="I176" s="10"/>
      <c r="J176" s="10"/>
      <c r="K176" s="7"/>
      <c r="L176" s="11"/>
      <c r="M176" s="7"/>
      <c r="N176" s="10"/>
      <c r="O176" s="7"/>
    </row>
    <row r="177" spans="1:15" x14ac:dyDescent="0.3">
      <c r="A177" s="7"/>
      <c r="B177" s="7"/>
      <c r="C177" s="7"/>
      <c r="D177" s="7"/>
      <c r="E177" s="7"/>
      <c r="F177" s="7"/>
      <c r="G177" s="7"/>
      <c r="H177" s="7"/>
      <c r="I177" s="10"/>
      <c r="J177" s="10"/>
      <c r="K177" s="7"/>
      <c r="L177" s="11"/>
      <c r="M177" s="7"/>
      <c r="N177" s="10"/>
      <c r="O177" s="7"/>
    </row>
    <row r="178" spans="1:15" x14ac:dyDescent="0.3">
      <c r="A178" s="7"/>
      <c r="B178" s="7"/>
      <c r="C178" s="7"/>
      <c r="D178" s="7"/>
      <c r="E178" s="7"/>
      <c r="F178" s="7"/>
      <c r="G178" s="7"/>
      <c r="H178" s="7"/>
      <c r="I178" s="10"/>
      <c r="J178" s="10"/>
      <c r="K178" s="7"/>
      <c r="L178" s="11"/>
      <c r="M178" s="7"/>
      <c r="N178" s="10"/>
      <c r="O178" s="7"/>
    </row>
    <row r="179" spans="1:15" x14ac:dyDescent="0.3">
      <c r="A179" s="7"/>
      <c r="B179" s="7"/>
      <c r="C179" s="7"/>
      <c r="D179" s="7"/>
      <c r="E179" s="7"/>
      <c r="F179" s="7"/>
      <c r="G179" s="7"/>
      <c r="H179" s="7"/>
      <c r="I179" s="10"/>
      <c r="J179" s="10"/>
      <c r="K179" s="7"/>
      <c r="L179" s="11"/>
      <c r="M179" s="7"/>
      <c r="N179" s="10"/>
      <c r="O179" s="7"/>
    </row>
    <row r="180" spans="1:15" x14ac:dyDescent="0.3">
      <c r="A180" s="7"/>
      <c r="B180" s="7"/>
      <c r="C180" s="7"/>
      <c r="D180" s="7"/>
      <c r="E180" s="7"/>
      <c r="F180" s="7"/>
      <c r="G180" s="7"/>
      <c r="H180" s="7"/>
      <c r="I180" s="10"/>
      <c r="J180" s="10"/>
      <c r="K180" s="7"/>
      <c r="L180" s="11"/>
      <c r="M180" s="7"/>
      <c r="N180" s="10"/>
      <c r="O180" s="7"/>
    </row>
    <row r="181" spans="1:15" x14ac:dyDescent="0.3">
      <c r="A181" s="7"/>
      <c r="B181" s="7"/>
      <c r="C181" s="7"/>
      <c r="D181" s="7"/>
      <c r="E181" s="7"/>
      <c r="F181" s="7"/>
      <c r="G181" s="7"/>
      <c r="H181" s="7"/>
      <c r="I181" s="10"/>
      <c r="J181" s="10"/>
      <c r="K181" s="7"/>
      <c r="L181" s="11"/>
      <c r="M181" s="7"/>
      <c r="N181" s="10"/>
      <c r="O181" s="7"/>
    </row>
    <row r="182" spans="1:15" x14ac:dyDescent="0.3">
      <c r="A182" s="7"/>
      <c r="B182" s="7"/>
      <c r="C182" s="7"/>
      <c r="D182" s="7"/>
      <c r="E182" s="7"/>
      <c r="F182" s="7"/>
      <c r="G182" s="7"/>
      <c r="H182" s="7"/>
      <c r="I182" s="10"/>
      <c r="J182" s="10"/>
      <c r="K182" s="7"/>
      <c r="L182" s="11"/>
      <c r="M182" s="7"/>
      <c r="N182" s="10"/>
      <c r="O182" s="7"/>
    </row>
    <row r="183" spans="1:15" x14ac:dyDescent="0.3">
      <c r="A183" s="7"/>
      <c r="B183" s="7"/>
      <c r="C183" s="7"/>
      <c r="D183" s="7"/>
      <c r="E183" s="7"/>
      <c r="F183" s="7"/>
      <c r="G183" s="7"/>
      <c r="H183" s="7"/>
      <c r="I183" s="10"/>
      <c r="J183" s="10"/>
      <c r="K183" s="7"/>
      <c r="L183" s="11"/>
      <c r="M183" s="7"/>
      <c r="N183" s="10"/>
      <c r="O183" s="7"/>
    </row>
    <row r="184" spans="1:15" x14ac:dyDescent="0.3">
      <c r="A184" s="7"/>
      <c r="B184" s="7"/>
      <c r="C184" s="7"/>
      <c r="D184" s="7"/>
      <c r="E184" s="7"/>
      <c r="F184" s="7"/>
      <c r="G184" s="7"/>
      <c r="H184" s="7"/>
      <c r="I184" s="10"/>
      <c r="J184" s="10"/>
      <c r="K184" s="7"/>
      <c r="L184" s="11"/>
      <c r="M184" s="7"/>
      <c r="N184" s="10"/>
      <c r="O184" s="7"/>
    </row>
    <row r="185" spans="1:15" x14ac:dyDescent="0.3">
      <c r="A185" s="7"/>
      <c r="B185" s="7"/>
      <c r="C185" s="7"/>
      <c r="D185" s="7"/>
      <c r="E185" s="7"/>
      <c r="F185" s="7"/>
      <c r="G185" s="7"/>
      <c r="H185" s="7"/>
      <c r="I185" s="10"/>
      <c r="J185" s="10"/>
      <c r="K185" s="7"/>
      <c r="L185" s="11"/>
      <c r="M185" s="7"/>
      <c r="N185" s="10"/>
      <c r="O185" s="7"/>
    </row>
    <row r="186" spans="1:15" x14ac:dyDescent="0.3">
      <c r="A186" s="7"/>
      <c r="B186" s="7"/>
      <c r="C186" s="7"/>
      <c r="D186" s="7"/>
      <c r="E186" s="7"/>
      <c r="F186" s="7"/>
      <c r="G186" s="7"/>
      <c r="H186" s="7"/>
      <c r="I186" s="10"/>
      <c r="J186" s="10"/>
      <c r="K186" s="7"/>
      <c r="L186" s="11"/>
      <c r="M186" s="7"/>
      <c r="N186" s="10"/>
      <c r="O186" s="7"/>
    </row>
    <row r="187" spans="1:15" x14ac:dyDescent="0.3">
      <c r="A187" s="7"/>
      <c r="B187" s="7"/>
      <c r="C187" s="7"/>
      <c r="D187" s="7"/>
      <c r="E187" s="7"/>
      <c r="F187" s="7"/>
      <c r="G187" s="7"/>
      <c r="H187" s="7"/>
      <c r="I187" s="10"/>
      <c r="J187" s="10"/>
      <c r="K187" s="7"/>
      <c r="L187" s="11"/>
      <c r="M187" s="7"/>
      <c r="N187" s="10"/>
      <c r="O187" s="7"/>
    </row>
    <row r="188" spans="1:15" x14ac:dyDescent="0.3">
      <c r="A188" s="7"/>
      <c r="B188" s="7"/>
      <c r="C188" s="7"/>
      <c r="D188" s="7"/>
      <c r="E188" s="7"/>
      <c r="F188" s="7"/>
      <c r="G188" s="7"/>
      <c r="H188" s="7"/>
      <c r="I188" s="10"/>
      <c r="J188" s="10"/>
      <c r="K188" s="7"/>
      <c r="L188" s="11"/>
      <c r="M188" s="7"/>
      <c r="N188" s="10"/>
      <c r="O188" s="7"/>
    </row>
    <row r="189" spans="1:15" x14ac:dyDescent="0.3">
      <c r="A189" s="7"/>
      <c r="B189" s="7"/>
      <c r="C189" s="7"/>
      <c r="D189" s="7"/>
      <c r="E189" s="7"/>
      <c r="F189" s="7"/>
      <c r="G189" s="7"/>
      <c r="H189" s="7"/>
      <c r="I189" s="10"/>
      <c r="J189" s="10"/>
      <c r="K189" s="7"/>
      <c r="L189" s="11"/>
      <c r="M189" s="7"/>
      <c r="N189" s="10"/>
      <c r="O189" s="7"/>
    </row>
    <row r="190" spans="1:15" x14ac:dyDescent="0.3">
      <c r="A190" s="7"/>
      <c r="B190" s="7"/>
      <c r="C190" s="7"/>
      <c r="D190" s="7"/>
      <c r="E190" s="7"/>
      <c r="F190" s="7"/>
      <c r="G190" s="7"/>
      <c r="H190" s="7"/>
      <c r="I190" s="10"/>
      <c r="J190" s="10"/>
      <c r="K190" s="7"/>
      <c r="L190" s="11"/>
      <c r="M190" s="7"/>
      <c r="N190" s="10"/>
      <c r="O190" s="7"/>
    </row>
    <row r="191" spans="1:15" x14ac:dyDescent="0.3">
      <c r="A191" s="7"/>
      <c r="B191" s="7"/>
      <c r="C191" s="7"/>
      <c r="D191" s="7"/>
      <c r="E191" s="7"/>
      <c r="F191" s="7"/>
      <c r="G191" s="7"/>
      <c r="H191" s="7"/>
      <c r="I191" s="10"/>
      <c r="J191" s="10"/>
      <c r="K191" s="7"/>
      <c r="L191" s="11"/>
      <c r="M191" s="7"/>
      <c r="N191" s="10"/>
      <c r="O191" s="7"/>
    </row>
    <row r="192" spans="1:15" x14ac:dyDescent="0.3">
      <c r="A192" s="7"/>
      <c r="B192" s="7"/>
      <c r="C192" s="7"/>
      <c r="D192" s="7"/>
      <c r="E192" s="7"/>
      <c r="F192" s="7"/>
      <c r="G192" s="7"/>
      <c r="H192" s="7"/>
      <c r="I192" s="10"/>
      <c r="J192" s="10"/>
      <c r="K192" s="7"/>
      <c r="L192" s="11"/>
      <c r="M192" s="7"/>
      <c r="N192" s="10"/>
      <c r="O192" s="7"/>
    </row>
    <row r="193" spans="1:15" x14ac:dyDescent="0.3">
      <c r="A193" s="7"/>
      <c r="B193" s="7"/>
      <c r="C193" s="7"/>
      <c r="D193" s="7"/>
      <c r="E193" s="7"/>
      <c r="F193" s="7"/>
      <c r="G193" s="7"/>
      <c r="H193" s="7"/>
      <c r="I193" s="10"/>
      <c r="J193" s="10"/>
      <c r="K193" s="7"/>
      <c r="L193" s="11"/>
      <c r="M193" s="7"/>
      <c r="N193" s="10"/>
      <c r="O193" s="7"/>
    </row>
    <row r="194" spans="1:15" x14ac:dyDescent="0.3">
      <c r="A194" s="7"/>
      <c r="B194" s="7"/>
      <c r="C194" s="7"/>
      <c r="D194" s="7"/>
      <c r="E194" s="7"/>
      <c r="F194" s="7"/>
      <c r="G194" s="7"/>
      <c r="H194" s="7"/>
      <c r="I194" s="10"/>
      <c r="J194" s="10"/>
      <c r="K194" s="7"/>
      <c r="L194" s="11"/>
      <c r="M194" s="7"/>
      <c r="N194" s="10"/>
      <c r="O194" s="7"/>
    </row>
    <row r="195" spans="1:15" x14ac:dyDescent="0.3">
      <c r="A195" s="7"/>
      <c r="B195" s="7"/>
      <c r="C195" s="7"/>
      <c r="D195" s="7"/>
      <c r="E195" s="7"/>
      <c r="F195" s="7"/>
      <c r="G195" s="7"/>
      <c r="H195" s="7"/>
      <c r="I195" s="10"/>
      <c r="J195" s="10"/>
      <c r="K195" s="7"/>
      <c r="L195" s="11"/>
      <c r="M195" s="7"/>
      <c r="N195" s="10"/>
      <c r="O195" s="7"/>
    </row>
    <row r="196" spans="1:15" x14ac:dyDescent="0.3">
      <c r="A196" s="7"/>
      <c r="B196" s="7"/>
      <c r="C196" s="7"/>
      <c r="D196" s="7"/>
      <c r="E196" s="7"/>
      <c r="F196" s="7"/>
      <c r="G196" s="7"/>
      <c r="H196" s="7"/>
      <c r="I196" s="10"/>
      <c r="J196" s="10"/>
      <c r="K196" s="7"/>
      <c r="L196" s="11"/>
      <c r="M196" s="7"/>
      <c r="N196" s="10"/>
      <c r="O196" s="7"/>
    </row>
    <row r="197" spans="1:15" x14ac:dyDescent="0.3">
      <c r="A197" s="7"/>
      <c r="B197" s="7"/>
      <c r="C197" s="7"/>
      <c r="D197" s="7"/>
      <c r="E197" s="7"/>
      <c r="F197" s="7"/>
      <c r="G197" s="7"/>
      <c r="H197" s="7"/>
      <c r="I197" s="10"/>
      <c r="J197" s="10"/>
      <c r="K197" s="7"/>
      <c r="L197" s="11"/>
      <c r="M197" s="7"/>
      <c r="N197" s="10"/>
      <c r="O197" s="7"/>
    </row>
    <row r="198" spans="1:15" x14ac:dyDescent="0.3">
      <c r="A198" s="7"/>
      <c r="B198" s="7"/>
      <c r="C198" s="7"/>
      <c r="D198" s="7"/>
      <c r="E198" s="7"/>
      <c r="F198" s="7"/>
      <c r="G198" s="7"/>
      <c r="H198" s="7"/>
      <c r="I198" s="10"/>
      <c r="J198" s="10"/>
      <c r="K198" s="7"/>
      <c r="L198" s="11"/>
      <c r="M198" s="7"/>
      <c r="N198" s="10"/>
      <c r="O198" s="7"/>
    </row>
    <row r="199" spans="1:15" x14ac:dyDescent="0.3">
      <c r="A199" s="7"/>
      <c r="B199" s="7"/>
      <c r="C199" s="7"/>
      <c r="D199" s="7"/>
      <c r="E199" s="7"/>
      <c r="F199" s="7"/>
      <c r="G199" s="7"/>
      <c r="H199" s="7"/>
      <c r="I199" s="10"/>
      <c r="J199" s="10"/>
      <c r="K199" s="7"/>
      <c r="L199" s="11"/>
      <c r="M199" s="7"/>
      <c r="N199" s="10"/>
      <c r="O199" s="7"/>
    </row>
    <row r="200" spans="1:15" x14ac:dyDescent="0.3">
      <c r="A200" s="7"/>
      <c r="B200" s="7"/>
      <c r="C200" s="7"/>
      <c r="D200" s="7"/>
      <c r="E200" s="7"/>
      <c r="F200" s="7"/>
      <c r="G200" s="7"/>
      <c r="H200" s="7"/>
      <c r="I200" s="10"/>
      <c r="J200" s="10"/>
      <c r="K200" s="7"/>
      <c r="L200" s="11"/>
      <c r="M200" s="7"/>
      <c r="N200" s="10"/>
      <c r="O200" s="7"/>
    </row>
    <row r="201" spans="1:15" x14ac:dyDescent="0.3">
      <c r="A201" s="7"/>
      <c r="B201" s="7"/>
      <c r="C201" s="7"/>
      <c r="D201" s="7"/>
      <c r="E201" s="7"/>
      <c r="F201" s="7"/>
      <c r="G201" s="7"/>
      <c r="H201" s="7"/>
      <c r="I201" s="10"/>
      <c r="J201" s="10"/>
      <c r="K201" s="7"/>
      <c r="L201" s="11"/>
      <c r="M201" s="7"/>
      <c r="N201" s="10"/>
      <c r="O201" s="7"/>
    </row>
  </sheetData>
  <conditionalFormatting sqref="J2:J201">
    <cfRule type="expression" dxfId="1" priority="1">
      <formula>AND(J2&lt;&gt;"",J2&lt;TODAY())</formula>
    </cfRule>
    <cfRule type="expression" dxfId="0" priority="2">
      <formula>AND(J2&lt;&gt;"",J2&gt;=TODAY(),J2&lt;=TODAY()+30)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Lists!$G$2:$G$6</xm:f>
          </x14:formula1>
          <xm:sqref>K2:K201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17" customWidth="1"/>
    <col min="4" max="4" width="43" customWidth="1"/>
    <col min="5" max="5" width="39" customWidth="1"/>
    <col min="6" max="6" width="22" customWidth="1"/>
    <col min="7" max="7" width="15" customWidth="1"/>
    <col min="8" max="8" width="18" customWidth="1"/>
    <col min="9" max="9" width="21" customWidth="1"/>
    <col min="10" max="10" width="24" customWidth="1"/>
    <col min="11" max="11" width="27" customWidth="1"/>
    <col min="12" max="12" width="14" customWidth="1"/>
    <col min="13" max="13" width="20" customWidth="1"/>
    <col min="14" max="14" width="16" customWidth="1"/>
    <col min="15" max="15" width="41" customWidth="1"/>
    <col min="16" max="16" width="18" customWidth="1"/>
    <col min="17" max="17" width="41" customWidth="1"/>
  </cols>
  <sheetData>
    <row r="1" spans="1:17" x14ac:dyDescent="0.3">
      <c r="A1" s="19" t="s">
        <v>2981</v>
      </c>
      <c r="B1" s="19" t="s">
        <v>40</v>
      </c>
      <c r="C1" s="19" t="s">
        <v>41</v>
      </c>
      <c r="D1" s="19" t="s">
        <v>865</v>
      </c>
      <c r="E1" s="19" t="s">
        <v>45</v>
      </c>
      <c r="F1" s="19" t="s">
        <v>47</v>
      </c>
      <c r="G1" s="19" t="s">
        <v>48</v>
      </c>
      <c r="H1" s="19" t="s">
        <v>49</v>
      </c>
      <c r="I1" s="19" t="s">
        <v>2982</v>
      </c>
      <c r="J1" s="19" t="s">
        <v>2983</v>
      </c>
      <c r="K1" s="19" t="s">
        <v>2984</v>
      </c>
      <c r="L1" s="19" t="s">
        <v>2985</v>
      </c>
      <c r="M1" s="19" t="s">
        <v>2986</v>
      </c>
      <c r="N1" s="19" t="s">
        <v>77</v>
      </c>
      <c r="O1" s="19" t="s">
        <v>873</v>
      </c>
      <c r="P1" s="19" t="s">
        <v>2987</v>
      </c>
      <c r="Q1" s="19" t="s">
        <v>78</v>
      </c>
    </row>
    <row r="2" spans="1:17" x14ac:dyDescent="0.3">
      <c r="A2" s="23" t="s">
        <v>2988</v>
      </c>
      <c r="B2" s="23" t="s">
        <v>79</v>
      </c>
      <c r="C2" s="23" t="s">
        <v>80</v>
      </c>
      <c r="D2" s="23" t="s">
        <v>875</v>
      </c>
      <c r="E2" s="23" t="s">
        <v>84</v>
      </c>
      <c r="F2" s="23" t="s">
        <v>86</v>
      </c>
      <c r="G2" s="23" t="s">
        <v>87</v>
      </c>
      <c r="H2" s="23" t="s">
        <v>88</v>
      </c>
      <c r="I2" s="23" t="s">
        <v>90</v>
      </c>
      <c r="J2" s="23" t="s">
        <v>840</v>
      </c>
      <c r="K2" s="23" t="s">
        <v>840</v>
      </c>
      <c r="L2" s="23" t="s">
        <v>840</v>
      </c>
      <c r="M2" s="24" t="s">
        <v>262</v>
      </c>
      <c r="N2" s="23" t="s">
        <v>147</v>
      </c>
      <c r="O2" s="23"/>
      <c r="P2" s="24"/>
      <c r="Q2" s="23" t="s">
        <v>2989</v>
      </c>
    </row>
    <row r="3" spans="1:17" x14ac:dyDescent="0.3">
      <c r="A3" s="23" t="s">
        <v>2990</v>
      </c>
      <c r="B3" s="23" t="s">
        <v>112</v>
      </c>
      <c r="C3" s="23" t="s">
        <v>80</v>
      </c>
      <c r="D3" s="23" t="s">
        <v>952</v>
      </c>
      <c r="E3" s="23" t="s">
        <v>115</v>
      </c>
      <c r="F3" s="23" t="s">
        <v>117</v>
      </c>
      <c r="G3" s="23" t="s">
        <v>87</v>
      </c>
      <c r="H3" s="23" t="s">
        <v>88</v>
      </c>
      <c r="I3" s="23" t="s">
        <v>118</v>
      </c>
      <c r="J3" s="23" t="s">
        <v>840</v>
      </c>
      <c r="K3" s="23" t="s">
        <v>840</v>
      </c>
      <c r="L3" s="23" t="s">
        <v>840</v>
      </c>
      <c r="M3" s="24" t="s">
        <v>167</v>
      </c>
      <c r="N3" s="23" t="s">
        <v>168</v>
      </c>
      <c r="O3" s="23"/>
      <c r="P3" s="24"/>
      <c r="Q3" s="23" t="s">
        <v>2989</v>
      </c>
    </row>
    <row r="4" spans="1:17" x14ac:dyDescent="0.3">
      <c r="A4" s="23" t="s">
        <v>2991</v>
      </c>
      <c r="B4" s="23" t="s">
        <v>132</v>
      </c>
      <c r="C4" s="23" t="s">
        <v>80</v>
      </c>
      <c r="D4" s="23" t="s">
        <v>952</v>
      </c>
      <c r="E4" s="23" t="s">
        <v>133</v>
      </c>
      <c r="F4" s="23" t="s">
        <v>135</v>
      </c>
      <c r="G4" s="23" t="s">
        <v>87</v>
      </c>
      <c r="H4" s="23" t="s">
        <v>88</v>
      </c>
      <c r="I4" s="23" t="s">
        <v>136</v>
      </c>
      <c r="J4" s="23" t="s">
        <v>840</v>
      </c>
      <c r="K4" s="23" t="s">
        <v>840</v>
      </c>
      <c r="L4" s="23" t="s">
        <v>840</v>
      </c>
      <c r="M4" s="24" t="s">
        <v>617</v>
      </c>
      <c r="N4" s="23" t="s">
        <v>111</v>
      </c>
      <c r="O4" s="23"/>
      <c r="P4" s="24"/>
      <c r="Q4" s="23" t="s">
        <v>2989</v>
      </c>
    </row>
    <row r="5" spans="1:17" x14ac:dyDescent="0.3">
      <c r="A5" s="23" t="s">
        <v>2992</v>
      </c>
      <c r="B5" s="23" t="s">
        <v>148</v>
      </c>
      <c r="C5" s="23" t="s">
        <v>80</v>
      </c>
      <c r="D5" s="23" t="s">
        <v>1122</v>
      </c>
      <c r="E5" s="23" t="s">
        <v>151</v>
      </c>
      <c r="F5" s="23" t="s">
        <v>153</v>
      </c>
      <c r="G5" s="23" t="s">
        <v>154</v>
      </c>
      <c r="H5" s="23" t="s">
        <v>88</v>
      </c>
      <c r="I5" s="23" t="s">
        <v>136</v>
      </c>
      <c r="J5" s="23" t="s">
        <v>840</v>
      </c>
      <c r="K5" s="23" t="s">
        <v>840</v>
      </c>
      <c r="L5" s="23" t="s">
        <v>840</v>
      </c>
      <c r="M5" s="24" t="s">
        <v>109</v>
      </c>
      <c r="N5" s="23" t="s">
        <v>219</v>
      </c>
      <c r="O5" s="23"/>
      <c r="P5" s="24"/>
      <c r="Q5" s="23" t="s">
        <v>2989</v>
      </c>
    </row>
    <row r="6" spans="1:17" x14ac:dyDescent="0.3">
      <c r="A6" s="23" t="s">
        <v>2993</v>
      </c>
      <c r="B6" s="23" t="s">
        <v>170</v>
      </c>
      <c r="C6" s="23" t="s">
        <v>80</v>
      </c>
      <c r="D6" s="23" t="s">
        <v>1187</v>
      </c>
      <c r="E6" s="23" t="s">
        <v>172</v>
      </c>
      <c r="F6" s="23" t="s">
        <v>174</v>
      </c>
      <c r="G6" s="23" t="s">
        <v>87</v>
      </c>
      <c r="H6" s="23" t="s">
        <v>175</v>
      </c>
      <c r="I6" s="23" t="s">
        <v>90</v>
      </c>
      <c r="J6" s="23" t="s">
        <v>840</v>
      </c>
      <c r="K6" s="23" t="s">
        <v>840</v>
      </c>
      <c r="L6" s="23" t="s">
        <v>840</v>
      </c>
      <c r="M6" s="24" t="s">
        <v>418</v>
      </c>
      <c r="N6" s="23" t="s">
        <v>131</v>
      </c>
      <c r="O6" s="23"/>
      <c r="P6" s="24"/>
      <c r="Q6" s="23" t="s">
        <v>2989</v>
      </c>
    </row>
    <row r="7" spans="1:17" x14ac:dyDescent="0.3">
      <c r="A7" s="23" t="s">
        <v>2994</v>
      </c>
      <c r="B7" s="23" t="s">
        <v>189</v>
      </c>
      <c r="C7" s="23" t="s">
        <v>80</v>
      </c>
      <c r="D7" s="23" t="s">
        <v>1122</v>
      </c>
      <c r="E7" s="23" t="s">
        <v>190</v>
      </c>
      <c r="F7" s="23" t="s">
        <v>192</v>
      </c>
      <c r="G7" s="23" t="s">
        <v>87</v>
      </c>
      <c r="H7" s="23" t="s">
        <v>88</v>
      </c>
      <c r="I7" s="23" t="s">
        <v>136</v>
      </c>
      <c r="J7" s="23" t="s">
        <v>840</v>
      </c>
      <c r="K7" s="23" t="s">
        <v>840</v>
      </c>
      <c r="L7" s="23" t="s">
        <v>840</v>
      </c>
      <c r="M7" s="24" t="s">
        <v>416</v>
      </c>
      <c r="N7" s="23" t="s">
        <v>219</v>
      </c>
      <c r="O7" s="23"/>
      <c r="P7" s="24"/>
      <c r="Q7" s="23" t="s">
        <v>2989</v>
      </c>
    </row>
    <row r="8" spans="1:17" x14ac:dyDescent="0.3">
      <c r="A8" s="23" t="s">
        <v>2995</v>
      </c>
      <c r="B8" s="23" t="s">
        <v>204</v>
      </c>
      <c r="C8" s="23" t="s">
        <v>80</v>
      </c>
      <c r="D8" s="23" t="s">
        <v>756</v>
      </c>
      <c r="E8" s="23" t="s">
        <v>206</v>
      </c>
      <c r="F8" s="23" t="s">
        <v>208</v>
      </c>
      <c r="G8" s="23" t="s">
        <v>87</v>
      </c>
      <c r="H8" s="23" t="s">
        <v>88</v>
      </c>
      <c r="I8" s="23" t="s">
        <v>136</v>
      </c>
      <c r="J8" s="23" t="s">
        <v>840</v>
      </c>
      <c r="K8" s="23" t="s">
        <v>840</v>
      </c>
      <c r="L8" s="23" t="s">
        <v>840</v>
      </c>
      <c r="M8" s="24" t="s">
        <v>235</v>
      </c>
      <c r="N8" s="23" t="s">
        <v>111</v>
      </c>
      <c r="O8" s="23"/>
      <c r="P8" s="24"/>
      <c r="Q8" s="23" t="s">
        <v>2989</v>
      </c>
    </row>
    <row r="9" spans="1:17" x14ac:dyDescent="0.3">
      <c r="A9" s="23" t="s">
        <v>2996</v>
      </c>
      <c r="B9" s="23" t="s">
        <v>221</v>
      </c>
      <c r="C9" s="23" t="s">
        <v>80</v>
      </c>
      <c r="D9" s="23" t="s">
        <v>1336</v>
      </c>
      <c r="E9" s="23" t="s">
        <v>223</v>
      </c>
      <c r="F9" s="23" t="s">
        <v>225</v>
      </c>
      <c r="G9" s="23" t="s">
        <v>87</v>
      </c>
      <c r="H9" s="23" t="s">
        <v>88</v>
      </c>
      <c r="I9" s="23" t="s">
        <v>90</v>
      </c>
      <c r="J9" s="23" t="s">
        <v>840</v>
      </c>
      <c r="K9" s="23" t="s">
        <v>840</v>
      </c>
      <c r="L9" s="23" t="s">
        <v>840</v>
      </c>
      <c r="M9" s="24" t="s">
        <v>2997</v>
      </c>
      <c r="N9" s="23" t="s">
        <v>131</v>
      </c>
      <c r="O9" s="23"/>
      <c r="P9" s="24"/>
      <c r="Q9" s="23" t="s">
        <v>2989</v>
      </c>
    </row>
    <row r="10" spans="1:17" x14ac:dyDescent="0.3">
      <c r="A10" s="23" t="s">
        <v>2998</v>
      </c>
      <c r="B10" s="23" t="s">
        <v>237</v>
      </c>
      <c r="C10" s="23" t="s">
        <v>80</v>
      </c>
      <c r="D10" s="23" t="s">
        <v>1336</v>
      </c>
      <c r="E10" s="23" t="s">
        <v>238</v>
      </c>
      <c r="F10" s="23" t="s">
        <v>240</v>
      </c>
      <c r="G10" s="23" t="s">
        <v>87</v>
      </c>
      <c r="H10" s="23" t="s">
        <v>175</v>
      </c>
      <c r="I10" s="23" t="s">
        <v>136</v>
      </c>
      <c r="J10" s="23" t="s">
        <v>840</v>
      </c>
      <c r="K10" s="23" t="s">
        <v>840</v>
      </c>
      <c r="L10" s="23" t="s">
        <v>840</v>
      </c>
      <c r="M10" s="24" t="s">
        <v>2121</v>
      </c>
      <c r="N10" s="23" t="s">
        <v>168</v>
      </c>
      <c r="O10" s="23"/>
      <c r="P10" s="24"/>
      <c r="Q10" s="23" t="s">
        <v>2989</v>
      </c>
    </row>
    <row r="11" spans="1:17" x14ac:dyDescent="0.3">
      <c r="A11" s="23" t="s">
        <v>2999</v>
      </c>
      <c r="B11" s="23" t="s">
        <v>250</v>
      </c>
      <c r="C11" s="23" t="s">
        <v>80</v>
      </c>
      <c r="D11" s="23" t="s">
        <v>764</v>
      </c>
      <c r="E11" s="23" t="s">
        <v>252</v>
      </c>
      <c r="F11" s="23" t="s">
        <v>254</v>
      </c>
      <c r="G11" s="23" t="s">
        <v>87</v>
      </c>
      <c r="H11" s="23" t="s">
        <v>88</v>
      </c>
      <c r="I11" s="23" t="s">
        <v>136</v>
      </c>
      <c r="J11" s="23" t="s">
        <v>840</v>
      </c>
      <c r="K11" s="23" t="s">
        <v>840</v>
      </c>
      <c r="L11" s="23" t="s">
        <v>840</v>
      </c>
      <c r="M11" s="24" t="s">
        <v>345</v>
      </c>
      <c r="N11" s="23" t="s">
        <v>111</v>
      </c>
      <c r="O11" s="23"/>
      <c r="P11" s="24"/>
      <c r="Q11" s="23" t="s">
        <v>2989</v>
      </c>
    </row>
    <row r="12" spans="1:17" x14ac:dyDescent="0.3">
      <c r="A12" s="23" t="s">
        <v>3000</v>
      </c>
      <c r="B12" s="23" t="s">
        <v>264</v>
      </c>
      <c r="C12" s="23" t="s">
        <v>80</v>
      </c>
      <c r="D12" s="23" t="s">
        <v>756</v>
      </c>
      <c r="E12" s="23" t="s">
        <v>265</v>
      </c>
      <c r="F12" s="23" t="s">
        <v>267</v>
      </c>
      <c r="G12" s="23" t="s">
        <v>154</v>
      </c>
      <c r="H12" s="23" t="s">
        <v>88</v>
      </c>
      <c r="I12" s="23" t="s">
        <v>136</v>
      </c>
      <c r="J12" s="23" t="s">
        <v>840</v>
      </c>
      <c r="K12" s="23" t="s">
        <v>840</v>
      </c>
      <c r="L12" s="23" t="s">
        <v>840</v>
      </c>
      <c r="M12" s="24" t="s">
        <v>1791</v>
      </c>
      <c r="N12" s="23" t="s">
        <v>131</v>
      </c>
      <c r="O12" s="23"/>
      <c r="P12" s="24"/>
      <c r="Q12" s="23" t="s">
        <v>2989</v>
      </c>
    </row>
    <row r="13" spans="1:17" x14ac:dyDescent="0.3">
      <c r="A13" s="23" t="s">
        <v>3001</v>
      </c>
      <c r="B13" s="23" t="s">
        <v>278</v>
      </c>
      <c r="C13" s="23" t="s">
        <v>80</v>
      </c>
      <c r="D13" s="23" t="s">
        <v>1533</v>
      </c>
      <c r="E13" s="23" t="s">
        <v>280</v>
      </c>
      <c r="F13" s="23" t="s">
        <v>282</v>
      </c>
      <c r="G13" s="23" t="s">
        <v>87</v>
      </c>
      <c r="H13" s="23" t="s">
        <v>88</v>
      </c>
      <c r="I13" s="23" t="s">
        <v>283</v>
      </c>
      <c r="J13" s="23" t="s">
        <v>840</v>
      </c>
      <c r="K13" s="23" t="s">
        <v>840</v>
      </c>
      <c r="L13" s="23" t="s">
        <v>840</v>
      </c>
      <c r="M13" s="24" t="s">
        <v>506</v>
      </c>
      <c r="N13" s="23" t="s">
        <v>111</v>
      </c>
      <c r="O13" s="23"/>
      <c r="P13" s="24"/>
      <c r="Q13" s="23" t="s">
        <v>2989</v>
      </c>
    </row>
    <row r="14" spans="1:17" x14ac:dyDescent="0.3">
      <c r="A14" s="23" t="s">
        <v>3002</v>
      </c>
      <c r="B14" s="23" t="s">
        <v>293</v>
      </c>
      <c r="C14" s="23" t="s">
        <v>80</v>
      </c>
      <c r="D14" s="23" t="s">
        <v>1545</v>
      </c>
      <c r="E14" s="23" t="s">
        <v>295</v>
      </c>
      <c r="F14" s="23" t="s">
        <v>297</v>
      </c>
      <c r="G14" s="23" t="s">
        <v>87</v>
      </c>
      <c r="H14" s="23" t="s">
        <v>88</v>
      </c>
      <c r="I14" s="23" t="s">
        <v>136</v>
      </c>
      <c r="J14" s="23" t="s">
        <v>840</v>
      </c>
      <c r="K14" s="23" t="s">
        <v>840</v>
      </c>
      <c r="L14" s="23" t="s">
        <v>840</v>
      </c>
      <c r="M14" s="24" t="s">
        <v>336</v>
      </c>
      <c r="N14" s="23" t="s">
        <v>219</v>
      </c>
      <c r="O14" s="23"/>
      <c r="P14" s="24"/>
      <c r="Q14" s="23" t="s">
        <v>2989</v>
      </c>
    </row>
    <row r="15" spans="1:17" x14ac:dyDescent="0.3">
      <c r="A15" s="23" t="s">
        <v>3003</v>
      </c>
      <c r="B15" s="23" t="s">
        <v>310</v>
      </c>
      <c r="C15" s="23" t="s">
        <v>80</v>
      </c>
      <c r="D15" s="23" t="s">
        <v>1580</v>
      </c>
      <c r="E15" s="23" t="s">
        <v>312</v>
      </c>
      <c r="F15" s="23" t="s">
        <v>314</v>
      </c>
      <c r="G15" s="23" t="s">
        <v>315</v>
      </c>
      <c r="H15" s="23" t="s">
        <v>88</v>
      </c>
      <c r="I15" s="23" t="s">
        <v>136</v>
      </c>
      <c r="J15" s="23" t="s">
        <v>840</v>
      </c>
      <c r="K15" s="23" t="s">
        <v>840</v>
      </c>
      <c r="L15" s="23" t="s">
        <v>840</v>
      </c>
      <c r="M15" s="24" t="s">
        <v>2045</v>
      </c>
      <c r="N15" s="23" t="s">
        <v>219</v>
      </c>
      <c r="O15" s="23"/>
      <c r="P15" s="24"/>
      <c r="Q15" s="23" t="s">
        <v>2989</v>
      </c>
    </row>
    <row r="16" spans="1:17" x14ac:dyDescent="0.3">
      <c r="A16" s="23" t="s">
        <v>3004</v>
      </c>
      <c r="B16" s="23" t="s">
        <v>324</v>
      </c>
      <c r="C16" s="23" t="s">
        <v>80</v>
      </c>
      <c r="D16" s="23" t="s">
        <v>779</v>
      </c>
      <c r="E16" s="23" t="s">
        <v>326</v>
      </c>
      <c r="F16" s="23" t="s">
        <v>328</v>
      </c>
      <c r="G16" s="23" t="s">
        <v>87</v>
      </c>
      <c r="H16" s="23" t="s">
        <v>175</v>
      </c>
      <c r="I16" s="23" t="s">
        <v>136</v>
      </c>
      <c r="J16" s="23" t="s">
        <v>840</v>
      </c>
      <c r="K16" s="23" t="s">
        <v>840</v>
      </c>
      <c r="L16" s="23" t="s">
        <v>840</v>
      </c>
      <c r="M16" s="24" t="s">
        <v>534</v>
      </c>
      <c r="N16" s="23" t="s">
        <v>168</v>
      </c>
      <c r="O16" s="23"/>
      <c r="P16" s="24"/>
      <c r="Q16" s="23" t="s">
        <v>2989</v>
      </c>
    </row>
    <row r="17" spans="1:17" x14ac:dyDescent="0.3">
      <c r="A17" s="23" t="s">
        <v>3005</v>
      </c>
      <c r="B17" s="23" t="s">
        <v>337</v>
      </c>
      <c r="C17" s="23" t="s">
        <v>80</v>
      </c>
      <c r="D17" s="23" t="s">
        <v>1638</v>
      </c>
      <c r="E17" s="23" t="s">
        <v>340</v>
      </c>
      <c r="F17" s="23" t="s">
        <v>342</v>
      </c>
      <c r="G17" s="23" t="s">
        <v>87</v>
      </c>
      <c r="H17" s="23" t="s">
        <v>88</v>
      </c>
      <c r="I17" s="23" t="s">
        <v>90</v>
      </c>
      <c r="J17" s="23" t="s">
        <v>840</v>
      </c>
      <c r="K17" s="23" t="s">
        <v>840</v>
      </c>
      <c r="L17" s="23" t="s">
        <v>840</v>
      </c>
      <c r="M17" s="24" t="s">
        <v>486</v>
      </c>
      <c r="N17" s="23" t="s">
        <v>111</v>
      </c>
      <c r="O17" s="23"/>
      <c r="P17" s="24"/>
      <c r="Q17" s="23" t="s">
        <v>2989</v>
      </c>
    </row>
    <row r="18" spans="1:17" x14ac:dyDescent="0.3">
      <c r="A18" s="23" t="s">
        <v>3006</v>
      </c>
      <c r="B18" s="23" t="s">
        <v>351</v>
      </c>
      <c r="C18" s="23" t="s">
        <v>80</v>
      </c>
      <c r="D18" s="23" t="s">
        <v>784</v>
      </c>
      <c r="E18" s="23" t="s">
        <v>354</v>
      </c>
      <c r="F18" s="23" t="s">
        <v>356</v>
      </c>
      <c r="G18" s="23" t="s">
        <v>87</v>
      </c>
      <c r="H18" s="23" t="s">
        <v>175</v>
      </c>
      <c r="I18" s="23" t="s">
        <v>283</v>
      </c>
      <c r="J18" s="23" t="s">
        <v>840</v>
      </c>
      <c r="K18" s="23" t="s">
        <v>840</v>
      </c>
      <c r="L18" s="23" t="s">
        <v>840</v>
      </c>
      <c r="M18" s="24" t="s">
        <v>109</v>
      </c>
      <c r="N18" s="23" t="s">
        <v>147</v>
      </c>
      <c r="O18" s="23"/>
      <c r="P18" s="24"/>
      <c r="Q18" s="23" t="s">
        <v>2989</v>
      </c>
    </row>
    <row r="19" spans="1:17" x14ac:dyDescent="0.3">
      <c r="A19" s="23" t="s">
        <v>3007</v>
      </c>
      <c r="B19" s="23" t="s">
        <v>366</v>
      </c>
      <c r="C19" s="23" t="s">
        <v>80</v>
      </c>
      <c r="D19" s="23" t="s">
        <v>1698</v>
      </c>
      <c r="E19" s="23" t="s">
        <v>368</v>
      </c>
      <c r="F19" s="23" t="s">
        <v>370</v>
      </c>
      <c r="G19" s="23" t="s">
        <v>87</v>
      </c>
      <c r="H19" s="23" t="s">
        <v>88</v>
      </c>
      <c r="I19" s="23" t="s">
        <v>90</v>
      </c>
      <c r="J19" s="23" t="s">
        <v>840</v>
      </c>
      <c r="K19" s="23" t="s">
        <v>840</v>
      </c>
      <c r="L19" s="23" t="s">
        <v>840</v>
      </c>
      <c r="M19" s="24" t="s">
        <v>2980</v>
      </c>
      <c r="N19" s="23" t="s">
        <v>219</v>
      </c>
      <c r="O19" s="23"/>
      <c r="P19" s="24"/>
      <c r="Q19" s="23" t="s">
        <v>2989</v>
      </c>
    </row>
    <row r="20" spans="1:17" x14ac:dyDescent="0.3">
      <c r="A20" s="23" t="s">
        <v>3008</v>
      </c>
      <c r="B20" s="23" t="s">
        <v>379</v>
      </c>
      <c r="C20" s="23" t="s">
        <v>80</v>
      </c>
      <c r="D20" s="23" t="s">
        <v>1754</v>
      </c>
      <c r="E20" s="23" t="s">
        <v>382</v>
      </c>
      <c r="F20" s="23" t="s">
        <v>384</v>
      </c>
      <c r="G20" s="23" t="s">
        <v>154</v>
      </c>
      <c r="H20" s="23" t="s">
        <v>175</v>
      </c>
      <c r="I20" s="23" t="s">
        <v>283</v>
      </c>
      <c r="J20" s="23" t="s">
        <v>840</v>
      </c>
      <c r="K20" s="23" t="s">
        <v>840</v>
      </c>
      <c r="L20" s="23" t="s">
        <v>840</v>
      </c>
      <c r="M20" s="24" t="s">
        <v>486</v>
      </c>
      <c r="N20" s="23" t="s">
        <v>168</v>
      </c>
      <c r="O20" s="23"/>
      <c r="P20" s="24"/>
      <c r="Q20" s="23" t="s">
        <v>2989</v>
      </c>
    </row>
    <row r="21" spans="1:17" ht="28.8" x14ac:dyDescent="0.3">
      <c r="A21" s="23" t="s">
        <v>3009</v>
      </c>
      <c r="B21" s="23" t="s">
        <v>393</v>
      </c>
      <c r="C21" s="23" t="s">
        <v>394</v>
      </c>
      <c r="D21" s="23" t="s">
        <v>1772</v>
      </c>
      <c r="E21" s="23" t="s">
        <v>397</v>
      </c>
      <c r="F21" s="23" t="s">
        <v>399</v>
      </c>
      <c r="G21" s="23" t="s">
        <v>87</v>
      </c>
      <c r="H21" s="23" t="s">
        <v>175</v>
      </c>
      <c r="I21" s="23" t="s">
        <v>136</v>
      </c>
      <c r="J21" s="23" t="s">
        <v>840</v>
      </c>
      <c r="K21" s="23" t="s">
        <v>840</v>
      </c>
      <c r="L21" s="23" t="s">
        <v>840</v>
      </c>
      <c r="M21" s="24" t="s">
        <v>142</v>
      </c>
      <c r="N21" s="23" t="s">
        <v>147</v>
      </c>
      <c r="O21" s="23" t="s">
        <v>3010</v>
      </c>
      <c r="P21" s="24"/>
      <c r="Q21" s="23" t="s">
        <v>3010</v>
      </c>
    </row>
    <row r="22" spans="1:17" ht="28.8" x14ac:dyDescent="0.3">
      <c r="A22" s="23" t="s">
        <v>3011</v>
      </c>
      <c r="B22" s="23" t="s">
        <v>410</v>
      </c>
      <c r="C22" s="23" t="s">
        <v>394</v>
      </c>
      <c r="D22" s="23" t="s">
        <v>1798</v>
      </c>
      <c r="E22" s="23" t="s">
        <v>411</v>
      </c>
      <c r="F22" s="23" t="s">
        <v>413</v>
      </c>
      <c r="G22" s="23" t="s">
        <v>87</v>
      </c>
      <c r="H22" s="23" t="s">
        <v>175</v>
      </c>
      <c r="I22" s="23" t="s">
        <v>283</v>
      </c>
      <c r="J22" s="23" t="s">
        <v>840</v>
      </c>
      <c r="K22" s="23" t="s">
        <v>840</v>
      </c>
      <c r="L22" s="23" t="s">
        <v>840</v>
      </c>
      <c r="M22" s="24" t="s">
        <v>566</v>
      </c>
      <c r="N22" s="23" t="s">
        <v>168</v>
      </c>
      <c r="O22" s="23"/>
      <c r="P22" s="24"/>
      <c r="Q22" s="23" t="s">
        <v>2989</v>
      </c>
    </row>
    <row r="23" spans="1:17" ht="28.8" x14ac:dyDescent="0.3">
      <c r="A23" s="23" t="s">
        <v>3012</v>
      </c>
      <c r="B23" s="23" t="s">
        <v>423</v>
      </c>
      <c r="C23" s="23" t="s">
        <v>394</v>
      </c>
      <c r="D23" s="23" t="s">
        <v>1772</v>
      </c>
      <c r="E23" s="23" t="s">
        <v>424</v>
      </c>
      <c r="F23" s="23" t="s">
        <v>426</v>
      </c>
      <c r="G23" s="23" t="s">
        <v>87</v>
      </c>
      <c r="H23" s="23" t="s">
        <v>88</v>
      </c>
      <c r="I23" s="23" t="s">
        <v>136</v>
      </c>
      <c r="J23" s="23" t="s">
        <v>840</v>
      </c>
      <c r="K23" s="23" t="s">
        <v>840</v>
      </c>
      <c r="L23" s="23" t="s">
        <v>840</v>
      </c>
      <c r="M23" s="24" t="s">
        <v>248</v>
      </c>
      <c r="N23" s="23" t="s">
        <v>219</v>
      </c>
      <c r="O23" s="23"/>
      <c r="P23" s="24"/>
      <c r="Q23" s="23" t="s">
        <v>2989</v>
      </c>
    </row>
    <row r="24" spans="1:17" ht="28.8" x14ac:dyDescent="0.3">
      <c r="A24" s="23" t="s">
        <v>3013</v>
      </c>
      <c r="B24" s="23" t="s">
        <v>435</v>
      </c>
      <c r="C24" s="23" t="s">
        <v>394</v>
      </c>
      <c r="D24" s="23" t="s">
        <v>1835</v>
      </c>
      <c r="E24" s="23" t="s">
        <v>436</v>
      </c>
      <c r="F24" s="23" t="s">
        <v>438</v>
      </c>
      <c r="G24" s="23" t="s">
        <v>87</v>
      </c>
      <c r="H24" s="23" t="s">
        <v>88</v>
      </c>
      <c r="I24" s="23" t="s">
        <v>283</v>
      </c>
      <c r="J24" s="23" t="s">
        <v>840</v>
      </c>
      <c r="K24" s="23" t="s">
        <v>840</v>
      </c>
      <c r="L24" s="23" t="s">
        <v>840</v>
      </c>
      <c r="M24" s="24" t="s">
        <v>3014</v>
      </c>
      <c r="N24" s="23" t="s">
        <v>219</v>
      </c>
      <c r="O24" s="23"/>
      <c r="P24" s="24"/>
      <c r="Q24" s="23" t="s">
        <v>2989</v>
      </c>
    </row>
    <row r="25" spans="1:17" ht="28.8" x14ac:dyDescent="0.3">
      <c r="A25" s="23" t="s">
        <v>3015</v>
      </c>
      <c r="B25" s="23" t="s">
        <v>447</v>
      </c>
      <c r="C25" s="23" t="s">
        <v>394</v>
      </c>
      <c r="D25" s="23" t="s">
        <v>1852</v>
      </c>
      <c r="E25" s="23" t="s">
        <v>448</v>
      </c>
      <c r="F25" s="23" t="s">
        <v>450</v>
      </c>
      <c r="G25" s="23" t="s">
        <v>87</v>
      </c>
      <c r="H25" s="23" t="s">
        <v>88</v>
      </c>
      <c r="I25" s="23" t="s">
        <v>136</v>
      </c>
      <c r="J25" s="23" t="s">
        <v>840</v>
      </c>
      <c r="K25" s="23" t="s">
        <v>840</v>
      </c>
      <c r="L25" s="23" t="s">
        <v>840</v>
      </c>
      <c r="M25" s="24" t="s">
        <v>361</v>
      </c>
      <c r="N25" s="23" t="s">
        <v>111</v>
      </c>
      <c r="O25" s="23"/>
      <c r="P25" s="24"/>
      <c r="Q25" s="23" t="s">
        <v>2989</v>
      </c>
    </row>
    <row r="26" spans="1:17" ht="28.8" x14ac:dyDescent="0.3">
      <c r="A26" s="23" t="s">
        <v>3016</v>
      </c>
      <c r="B26" s="23" t="s">
        <v>458</v>
      </c>
      <c r="C26" s="23" t="s">
        <v>394</v>
      </c>
      <c r="D26" s="23" t="s">
        <v>1835</v>
      </c>
      <c r="E26" s="23" t="s">
        <v>459</v>
      </c>
      <c r="F26" s="23" t="s">
        <v>461</v>
      </c>
      <c r="G26" s="23" t="s">
        <v>87</v>
      </c>
      <c r="H26" s="23" t="s">
        <v>175</v>
      </c>
      <c r="I26" s="23" t="s">
        <v>283</v>
      </c>
      <c r="J26" s="23" t="s">
        <v>840</v>
      </c>
      <c r="K26" s="23" t="s">
        <v>840</v>
      </c>
      <c r="L26" s="23" t="s">
        <v>840</v>
      </c>
      <c r="M26" s="24" t="s">
        <v>100</v>
      </c>
      <c r="N26" s="23" t="s">
        <v>168</v>
      </c>
      <c r="O26" s="23"/>
      <c r="P26" s="24"/>
      <c r="Q26" s="23" t="s">
        <v>2989</v>
      </c>
    </row>
    <row r="27" spans="1:17" x14ac:dyDescent="0.3">
      <c r="A27" s="23" t="s">
        <v>3017</v>
      </c>
      <c r="B27" s="23" t="s">
        <v>469</v>
      </c>
      <c r="C27" s="23" t="s">
        <v>470</v>
      </c>
      <c r="D27" s="23" t="s">
        <v>1866</v>
      </c>
      <c r="E27" s="23" t="s">
        <v>473</v>
      </c>
      <c r="F27" s="23" t="s">
        <v>475</v>
      </c>
      <c r="G27" s="23" t="s">
        <v>476</v>
      </c>
      <c r="H27" s="23" t="s">
        <v>477</v>
      </c>
      <c r="I27" s="23" t="s">
        <v>136</v>
      </c>
      <c r="J27" s="23" t="s">
        <v>840</v>
      </c>
      <c r="K27" s="23" t="s">
        <v>840</v>
      </c>
      <c r="L27" s="23" t="s">
        <v>840</v>
      </c>
      <c r="M27" s="24" t="s">
        <v>689</v>
      </c>
      <c r="N27" s="23" t="s">
        <v>147</v>
      </c>
      <c r="O27" s="23" t="s">
        <v>3018</v>
      </c>
      <c r="P27" s="24" t="s">
        <v>303</v>
      </c>
      <c r="Q27" s="23" t="s">
        <v>3018</v>
      </c>
    </row>
    <row r="28" spans="1:17" x14ac:dyDescent="0.3">
      <c r="A28" s="23" t="s">
        <v>3019</v>
      </c>
      <c r="B28" s="23" t="s">
        <v>487</v>
      </c>
      <c r="C28" s="23" t="s">
        <v>470</v>
      </c>
      <c r="D28" s="23" t="s">
        <v>1930</v>
      </c>
      <c r="E28" s="23" t="s">
        <v>489</v>
      </c>
      <c r="F28" s="23" t="s">
        <v>475</v>
      </c>
      <c r="G28" s="23" t="s">
        <v>476</v>
      </c>
      <c r="H28" s="23" t="s">
        <v>477</v>
      </c>
      <c r="I28" s="23" t="s">
        <v>90</v>
      </c>
      <c r="J28" s="23" t="s">
        <v>840</v>
      </c>
      <c r="K28" s="23"/>
      <c r="L28" s="23" t="s">
        <v>840</v>
      </c>
      <c r="M28" s="24" t="s">
        <v>1690</v>
      </c>
      <c r="N28" s="23" t="s">
        <v>111</v>
      </c>
      <c r="O28" s="23"/>
      <c r="P28" s="24"/>
      <c r="Q28" s="23" t="s">
        <v>2989</v>
      </c>
    </row>
    <row r="29" spans="1:17" x14ac:dyDescent="0.3">
      <c r="A29" s="23" t="s">
        <v>3020</v>
      </c>
      <c r="B29" s="23" t="s">
        <v>497</v>
      </c>
      <c r="C29" s="23" t="s">
        <v>498</v>
      </c>
      <c r="D29" s="23" t="s">
        <v>2050</v>
      </c>
      <c r="E29" s="23" t="s">
        <v>501</v>
      </c>
      <c r="F29" s="23" t="s">
        <v>503</v>
      </c>
      <c r="G29" s="23" t="s">
        <v>154</v>
      </c>
      <c r="H29" s="23" t="s">
        <v>175</v>
      </c>
      <c r="I29" s="23" t="s">
        <v>136</v>
      </c>
      <c r="J29" s="23" t="s">
        <v>840</v>
      </c>
      <c r="K29" s="23" t="s">
        <v>840</v>
      </c>
      <c r="L29" s="23" t="s">
        <v>840</v>
      </c>
      <c r="M29" s="24" t="s">
        <v>2531</v>
      </c>
      <c r="N29" s="23" t="s">
        <v>131</v>
      </c>
      <c r="O29" s="23"/>
      <c r="P29" s="24"/>
      <c r="Q29" s="23" t="s">
        <v>2989</v>
      </c>
    </row>
    <row r="30" spans="1:17" x14ac:dyDescent="0.3">
      <c r="A30" s="23" t="s">
        <v>3021</v>
      </c>
      <c r="B30" s="23" t="s">
        <v>512</v>
      </c>
      <c r="C30" s="23" t="s">
        <v>498</v>
      </c>
      <c r="D30" s="23" t="s">
        <v>2086</v>
      </c>
      <c r="E30" s="23" t="s">
        <v>514</v>
      </c>
      <c r="F30" s="23" t="s">
        <v>503</v>
      </c>
      <c r="G30" s="23" t="s">
        <v>87</v>
      </c>
      <c r="H30" s="23" t="s">
        <v>88</v>
      </c>
      <c r="I30" s="23" t="s">
        <v>90</v>
      </c>
      <c r="J30" s="23" t="s">
        <v>840</v>
      </c>
      <c r="K30" s="23"/>
      <c r="L30" s="23" t="s">
        <v>840</v>
      </c>
      <c r="M30" s="24" t="s">
        <v>2498</v>
      </c>
      <c r="N30" s="23" t="s">
        <v>147</v>
      </c>
      <c r="O30" s="23"/>
      <c r="P30" s="24"/>
      <c r="Q30" s="23" t="s">
        <v>2989</v>
      </c>
    </row>
    <row r="31" spans="1:17" x14ac:dyDescent="0.3">
      <c r="A31" s="23" t="s">
        <v>3022</v>
      </c>
      <c r="B31" s="23" t="s">
        <v>523</v>
      </c>
      <c r="C31" s="23" t="s">
        <v>498</v>
      </c>
      <c r="D31" s="23" t="s">
        <v>2129</v>
      </c>
      <c r="E31" s="23" t="s">
        <v>526</v>
      </c>
      <c r="F31" s="23" t="s">
        <v>503</v>
      </c>
      <c r="G31" s="23" t="s">
        <v>87</v>
      </c>
      <c r="H31" s="23" t="s">
        <v>175</v>
      </c>
      <c r="I31" s="23" t="s">
        <v>136</v>
      </c>
      <c r="J31" s="23" t="s">
        <v>842</v>
      </c>
      <c r="K31" s="23" t="s">
        <v>840</v>
      </c>
      <c r="L31" s="23" t="s">
        <v>842</v>
      </c>
      <c r="M31" s="24" t="s">
        <v>181</v>
      </c>
      <c r="N31" s="23" t="s">
        <v>131</v>
      </c>
      <c r="O31" s="23" t="s">
        <v>3023</v>
      </c>
      <c r="P31" s="24"/>
      <c r="Q31" s="23" t="s">
        <v>3023</v>
      </c>
    </row>
    <row r="32" spans="1:17" x14ac:dyDescent="0.3">
      <c r="A32" s="23" t="s">
        <v>3024</v>
      </c>
      <c r="B32" s="23" t="s">
        <v>535</v>
      </c>
      <c r="C32" s="23" t="s">
        <v>536</v>
      </c>
      <c r="D32" s="23" t="s">
        <v>2153</v>
      </c>
      <c r="E32" s="23" t="s">
        <v>540</v>
      </c>
      <c r="F32" s="23" t="s">
        <v>475</v>
      </c>
      <c r="G32" s="23" t="s">
        <v>476</v>
      </c>
      <c r="H32" s="23" t="s">
        <v>477</v>
      </c>
      <c r="I32" s="23" t="s">
        <v>136</v>
      </c>
      <c r="J32" s="23" t="s">
        <v>840</v>
      </c>
      <c r="K32" s="23"/>
      <c r="L32" s="23" t="s">
        <v>840</v>
      </c>
      <c r="M32" s="24" t="s">
        <v>2980</v>
      </c>
      <c r="N32" s="23" t="s">
        <v>111</v>
      </c>
      <c r="O32" s="23"/>
      <c r="P32" s="24"/>
      <c r="Q32" s="23" t="s">
        <v>2989</v>
      </c>
    </row>
    <row r="33" spans="1:17" x14ac:dyDescent="0.3">
      <c r="A33" s="23" t="s">
        <v>3025</v>
      </c>
      <c r="B33" s="23" t="s">
        <v>549</v>
      </c>
      <c r="C33" s="23" t="s">
        <v>550</v>
      </c>
      <c r="D33" s="23" t="s">
        <v>2255</v>
      </c>
      <c r="E33" s="23" t="s">
        <v>552</v>
      </c>
      <c r="F33" s="23" t="s">
        <v>475</v>
      </c>
      <c r="G33" s="23" t="s">
        <v>476</v>
      </c>
      <c r="H33" s="23" t="s">
        <v>477</v>
      </c>
      <c r="I33" s="23" t="s">
        <v>136</v>
      </c>
      <c r="J33" s="23" t="s">
        <v>840</v>
      </c>
      <c r="K33" s="23"/>
      <c r="L33" s="23" t="s">
        <v>840</v>
      </c>
      <c r="M33" s="24" t="s">
        <v>3026</v>
      </c>
      <c r="N33" s="23" t="s">
        <v>147</v>
      </c>
      <c r="O33" s="23"/>
      <c r="P33" s="24"/>
      <c r="Q33" s="23" t="s">
        <v>2989</v>
      </c>
    </row>
    <row r="34" spans="1:17" x14ac:dyDescent="0.3">
      <c r="A34" s="23" t="s">
        <v>3027</v>
      </c>
      <c r="B34" s="23" t="s">
        <v>559</v>
      </c>
      <c r="C34" s="23" t="s">
        <v>550</v>
      </c>
      <c r="D34" s="23" t="s">
        <v>2300</v>
      </c>
      <c r="E34" s="23" t="s">
        <v>562</v>
      </c>
      <c r="F34" s="23" t="s">
        <v>475</v>
      </c>
      <c r="G34" s="23" t="s">
        <v>476</v>
      </c>
      <c r="H34" s="23" t="s">
        <v>175</v>
      </c>
      <c r="I34" s="23" t="s">
        <v>136</v>
      </c>
      <c r="J34" s="23" t="s">
        <v>840</v>
      </c>
      <c r="K34" s="23" t="s">
        <v>840</v>
      </c>
      <c r="L34" s="23" t="s">
        <v>840</v>
      </c>
      <c r="M34" s="24" t="s">
        <v>637</v>
      </c>
      <c r="N34" s="23" t="s">
        <v>168</v>
      </c>
      <c r="O34" s="23"/>
      <c r="P34" s="24"/>
      <c r="Q34" s="23" t="s">
        <v>2989</v>
      </c>
    </row>
    <row r="35" spans="1:17" x14ac:dyDescent="0.3">
      <c r="A35" s="23" t="s">
        <v>3028</v>
      </c>
      <c r="B35" s="23" t="s">
        <v>567</v>
      </c>
      <c r="C35" s="23" t="s">
        <v>568</v>
      </c>
      <c r="D35" s="23" t="s">
        <v>2321</v>
      </c>
      <c r="E35" s="23" t="s">
        <v>571</v>
      </c>
      <c r="F35" s="23" t="s">
        <v>475</v>
      </c>
      <c r="G35" s="23" t="s">
        <v>476</v>
      </c>
      <c r="H35" s="23" t="s">
        <v>175</v>
      </c>
      <c r="I35" s="23" t="s">
        <v>136</v>
      </c>
      <c r="J35" s="23" t="s">
        <v>840</v>
      </c>
      <c r="K35" s="23" t="s">
        <v>840</v>
      </c>
      <c r="L35" s="23" t="s">
        <v>840</v>
      </c>
      <c r="M35" s="24" t="s">
        <v>350</v>
      </c>
      <c r="N35" s="23" t="s">
        <v>168</v>
      </c>
      <c r="O35" s="23"/>
      <c r="P35" s="24"/>
      <c r="Q35" s="23" t="s">
        <v>2989</v>
      </c>
    </row>
    <row r="36" spans="1:17" x14ac:dyDescent="0.3">
      <c r="A36" s="23" t="s">
        <v>3029</v>
      </c>
      <c r="B36" s="23" t="s">
        <v>580</v>
      </c>
      <c r="C36" s="23" t="s">
        <v>568</v>
      </c>
      <c r="D36" s="23" t="s">
        <v>2321</v>
      </c>
      <c r="E36" s="23" t="s">
        <v>581</v>
      </c>
      <c r="F36" s="23" t="s">
        <v>475</v>
      </c>
      <c r="G36" s="23" t="s">
        <v>476</v>
      </c>
      <c r="H36" s="23" t="s">
        <v>88</v>
      </c>
      <c r="I36" s="23" t="s">
        <v>136</v>
      </c>
      <c r="J36" s="23" t="s">
        <v>840</v>
      </c>
      <c r="K36" s="23" t="s">
        <v>840</v>
      </c>
      <c r="L36" s="23" t="s">
        <v>840</v>
      </c>
      <c r="M36" s="24" t="s">
        <v>700</v>
      </c>
      <c r="N36" s="23" t="s">
        <v>168</v>
      </c>
      <c r="O36" s="23"/>
      <c r="P36" s="24"/>
      <c r="Q36" s="23" t="s">
        <v>2989</v>
      </c>
    </row>
    <row r="37" spans="1:17" x14ac:dyDescent="0.3">
      <c r="A37" s="23" t="s">
        <v>3030</v>
      </c>
      <c r="B37" s="23" t="s">
        <v>590</v>
      </c>
      <c r="C37" s="23" t="s">
        <v>591</v>
      </c>
      <c r="D37" s="23" t="s">
        <v>2368</v>
      </c>
      <c r="E37" s="23" t="s">
        <v>594</v>
      </c>
      <c r="F37" s="23" t="s">
        <v>475</v>
      </c>
      <c r="G37" s="23" t="s">
        <v>476</v>
      </c>
      <c r="H37" s="23" t="s">
        <v>477</v>
      </c>
      <c r="I37" s="23" t="s">
        <v>136</v>
      </c>
      <c r="J37" s="23" t="s">
        <v>840</v>
      </c>
      <c r="K37" s="23" t="s">
        <v>840</v>
      </c>
      <c r="L37" s="23" t="s">
        <v>840</v>
      </c>
      <c r="M37" s="24" t="s">
        <v>689</v>
      </c>
      <c r="N37" s="23" t="s">
        <v>111</v>
      </c>
      <c r="O37" s="23"/>
      <c r="P37" s="24"/>
      <c r="Q37" s="23" t="s">
        <v>2989</v>
      </c>
    </row>
    <row r="38" spans="1:17" x14ac:dyDescent="0.3">
      <c r="A38" s="23" t="s">
        <v>3031</v>
      </c>
      <c r="B38" s="23" t="s">
        <v>600</v>
      </c>
      <c r="C38" s="23" t="s">
        <v>591</v>
      </c>
      <c r="D38" s="23" t="s">
        <v>2459</v>
      </c>
      <c r="E38" s="23" t="s">
        <v>602</v>
      </c>
      <c r="F38" s="23" t="s">
        <v>503</v>
      </c>
      <c r="G38" s="23" t="s">
        <v>476</v>
      </c>
      <c r="H38" s="23" t="s">
        <v>175</v>
      </c>
      <c r="I38" s="23" t="s">
        <v>136</v>
      </c>
      <c r="J38" s="23" t="s">
        <v>842</v>
      </c>
      <c r="K38" s="23"/>
      <c r="L38" s="23" t="s">
        <v>842</v>
      </c>
      <c r="M38" s="24" t="s">
        <v>468</v>
      </c>
      <c r="N38" s="23" t="s">
        <v>147</v>
      </c>
      <c r="O38" s="23" t="s">
        <v>3023</v>
      </c>
      <c r="P38" s="24"/>
      <c r="Q38" s="23" t="s">
        <v>3023</v>
      </c>
    </row>
    <row r="39" spans="1:17" x14ac:dyDescent="0.3">
      <c r="A39" s="23" t="s">
        <v>3032</v>
      </c>
      <c r="B39" s="23" t="s">
        <v>606</v>
      </c>
      <c r="C39" s="23" t="s">
        <v>607</v>
      </c>
      <c r="D39" s="23" t="s">
        <v>2505</v>
      </c>
      <c r="E39" s="23" t="s">
        <v>610</v>
      </c>
      <c r="F39" s="23" t="s">
        <v>86</v>
      </c>
      <c r="G39" s="23" t="s">
        <v>87</v>
      </c>
      <c r="H39" s="23" t="s">
        <v>88</v>
      </c>
      <c r="I39" s="23" t="s">
        <v>136</v>
      </c>
      <c r="J39" s="23" t="s">
        <v>840</v>
      </c>
      <c r="K39" s="23" t="s">
        <v>840</v>
      </c>
      <c r="L39" s="23" t="s">
        <v>840</v>
      </c>
      <c r="M39" s="24" t="s">
        <v>486</v>
      </c>
      <c r="N39" s="23" t="s">
        <v>131</v>
      </c>
      <c r="O39" s="23"/>
      <c r="P39" s="24"/>
      <c r="Q39" s="23" t="s">
        <v>2989</v>
      </c>
    </row>
    <row r="40" spans="1:17" x14ac:dyDescent="0.3">
      <c r="A40" s="23" t="s">
        <v>3033</v>
      </c>
      <c r="B40" s="23" t="s">
        <v>618</v>
      </c>
      <c r="C40" s="23" t="s">
        <v>607</v>
      </c>
      <c r="D40" s="23" t="s">
        <v>2518</v>
      </c>
      <c r="E40" s="23" t="s">
        <v>621</v>
      </c>
      <c r="F40" s="23" t="s">
        <v>153</v>
      </c>
      <c r="G40" s="23" t="s">
        <v>154</v>
      </c>
      <c r="H40" s="23" t="s">
        <v>175</v>
      </c>
      <c r="I40" s="23" t="s">
        <v>136</v>
      </c>
      <c r="J40" s="23" t="s">
        <v>840</v>
      </c>
      <c r="K40" s="23" t="s">
        <v>840</v>
      </c>
      <c r="L40" s="23" t="s">
        <v>840</v>
      </c>
      <c r="M40" s="24" t="s">
        <v>212</v>
      </c>
      <c r="N40" s="23" t="s">
        <v>219</v>
      </c>
      <c r="O40" s="23"/>
      <c r="P40" s="24"/>
      <c r="Q40" s="23" t="s">
        <v>2989</v>
      </c>
    </row>
    <row r="41" spans="1:17" x14ac:dyDescent="0.3">
      <c r="A41" s="23" t="s">
        <v>3034</v>
      </c>
      <c r="B41" s="23" t="s">
        <v>627</v>
      </c>
      <c r="C41" s="23" t="s">
        <v>628</v>
      </c>
      <c r="D41" s="23" t="s">
        <v>2536</v>
      </c>
      <c r="E41" s="23" t="s">
        <v>632</v>
      </c>
      <c r="F41" s="23" t="s">
        <v>475</v>
      </c>
      <c r="G41" s="23" t="s">
        <v>476</v>
      </c>
      <c r="H41" s="23" t="s">
        <v>477</v>
      </c>
      <c r="I41" s="23" t="s">
        <v>136</v>
      </c>
      <c r="J41" s="23" t="s">
        <v>840</v>
      </c>
      <c r="K41" s="23"/>
      <c r="L41" s="23" t="s">
        <v>840</v>
      </c>
      <c r="M41" s="24" t="s">
        <v>229</v>
      </c>
      <c r="N41" s="23" t="s">
        <v>219</v>
      </c>
      <c r="O41" s="23"/>
      <c r="P41" s="24"/>
      <c r="Q41" s="23" t="s">
        <v>2989</v>
      </c>
    </row>
    <row r="42" spans="1:17" x14ac:dyDescent="0.3">
      <c r="A42" s="23" t="s">
        <v>3035</v>
      </c>
      <c r="B42" s="23" t="s">
        <v>638</v>
      </c>
      <c r="C42" s="23" t="s">
        <v>639</v>
      </c>
      <c r="D42" s="23" t="s">
        <v>2595</v>
      </c>
      <c r="E42" s="23" t="s">
        <v>642</v>
      </c>
      <c r="F42" s="23" t="s">
        <v>503</v>
      </c>
      <c r="G42" s="23" t="s">
        <v>154</v>
      </c>
      <c r="H42" s="23" t="s">
        <v>644</v>
      </c>
      <c r="I42" s="23" t="s">
        <v>136</v>
      </c>
      <c r="J42" s="23" t="s">
        <v>840</v>
      </c>
      <c r="K42" s="23"/>
      <c r="L42" s="23" t="s">
        <v>840</v>
      </c>
      <c r="M42" s="24" t="s">
        <v>1791</v>
      </c>
      <c r="N42" s="23" t="s">
        <v>219</v>
      </c>
      <c r="O42" s="23"/>
      <c r="P42" s="24"/>
      <c r="Q42" s="23" t="s">
        <v>2989</v>
      </c>
    </row>
    <row r="43" spans="1:17" x14ac:dyDescent="0.3">
      <c r="A43" s="23" t="s">
        <v>3036</v>
      </c>
      <c r="B43" s="23" t="s">
        <v>649</v>
      </c>
      <c r="C43" s="23" t="s">
        <v>639</v>
      </c>
      <c r="D43" s="23" t="s">
        <v>2629</v>
      </c>
      <c r="E43" s="23" t="s">
        <v>652</v>
      </c>
      <c r="F43" s="23" t="s">
        <v>503</v>
      </c>
      <c r="G43" s="23" t="s">
        <v>154</v>
      </c>
      <c r="H43" s="23" t="s">
        <v>644</v>
      </c>
      <c r="I43" s="23" t="s">
        <v>136</v>
      </c>
      <c r="J43" s="23" t="s">
        <v>840</v>
      </c>
      <c r="K43" s="23" t="s">
        <v>840</v>
      </c>
      <c r="L43" s="23" t="s">
        <v>840</v>
      </c>
      <c r="M43" s="24" t="s">
        <v>257</v>
      </c>
      <c r="N43" s="23" t="s">
        <v>219</v>
      </c>
      <c r="O43" s="23"/>
      <c r="P43" s="24"/>
      <c r="Q43" s="23" t="s">
        <v>2989</v>
      </c>
    </row>
    <row r="44" spans="1:17" x14ac:dyDescent="0.3">
      <c r="A44" s="23" t="s">
        <v>3037</v>
      </c>
      <c r="B44" s="23" t="s">
        <v>658</v>
      </c>
      <c r="C44" s="23" t="s">
        <v>659</v>
      </c>
      <c r="D44" s="23" t="s">
        <v>2663</v>
      </c>
      <c r="E44" s="23" t="s">
        <v>662</v>
      </c>
      <c r="F44" s="23" t="s">
        <v>503</v>
      </c>
      <c r="G44" s="23" t="s">
        <v>154</v>
      </c>
      <c r="H44" s="23" t="s">
        <v>175</v>
      </c>
      <c r="I44" s="23" t="s">
        <v>136</v>
      </c>
      <c r="J44" s="23" t="s">
        <v>840</v>
      </c>
      <c r="K44" s="23" t="s">
        <v>840</v>
      </c>
      <c r="L44" s="23" t="s">
        <v>840</v>
      </c>
      <c r="M44" s="24" t="s">
        <v>350</v>
      </c>
      <c r="N44" s="23" t="s">
        <v>131</v>
      </c>
      <c r="O44" s="23"/>
      <c r="P44" s="24"/>
      <c r="Q44" s="23" t="s">
        <v>2989</v>
      </c>
    </row>
    <row r="45" spans="1:17" x14ac:dyDescent="0.3">
      <c r="A45" s="23" t="s">
        <v>3038</v>
      </c>
      <c r="B45" s="23" t="s">
        <v>669</v>
      </c>
      <c r="C45" s="23" t="s">
        <v>670</v>
      </c>
      <c r="D45" s="23" t="s">
        <v>2685</v>
      </c>
      <c r="E45" s="23" t="s">
        <v>673</v>
      </c>
      <c r="F45" s="23" t="s">
        <v>675</v>
      </c>
      <c r="G45" s="23" t="s">
        <v>154</v>
      </c>
      <c r="H45" s="23" t="s">
        <v>675</v>
      </c>
      <c r="I45" s="23" t="s">
        <v>136</v>
      </c>
      <c r="J45" s="23" t="s">
        <v>840</v>
      </c>
      <c r="K45" s="23" t="s">
        <v>840</v>
      </c>
      <c r="L45" s="23" t="s">
        <v>840</v>
      </c>
      <c r="M45" s="24" t="s">
        <v>196</v>
      </c>
      <c r="N45" s="23" t="s">
        <v>131</v>
      </c>
      <c r="O45" s="23"/>
      <c r="P45" s="24"/>
      <c r="Q45" s="23" t="s">
        <v>2989</v>
      </c>
    </row>
    <row r="46" spans="1:17" x14ac:dyDescent="0.3">
      <c r="A46" s="23" t="s">
        <v>3039</v>
      </c>
      <c r="B46" s="23" t="s">
        <v>682</v>
      </c>
      <c r="C46" s="23" t="s">
        <v>670</v>
      </c>
      <c r="D46" s="23" t="s">
        <v>2685</v>
      </c>
      <c r="E46" s="23" t="s">
        <v>683</v>
      </c>
      <c r="F46" s="23" t="s">
        <v>314</v>
      </c>
      <c r="G46" s="23" t="s">
        <v>315</v>
      </c>
      <c r="H46" s="23" t="s">
        <v>88</v>
      </c>
      <c r="I46" s="23" t="s">
        <v>136</v>
      </c>
      <c r="J46" s="23" t="s">
        <v>840</v>
      </c>
      <c r="K46" s="23" t="s">
        <v>840</v>
      </c>
      <c r="L46" s="23" t="s">
        <v>840</v>
      </c>
      <c r="M46" s="24" t="s">
        <v>319</v>
      </c>
      <c r="N46" s="23" t="s">
        <v>131</v>
      </c>
      <c r="O46" s="23"/>
      <c r="P46" s="24"/>
      <c r="Q46" s="23" t="s">
        <v>2989</v>
      </c>
    </row>
    <row r="47" spans="1:17" x14ac:dyDescent="0.3">
      <c r="A47" s="23" t="s">
        <v>3040</v>
      </c>
      <c r="B47" s="23" t="s">
        <v>690</v>
      </c>
      <c r="C47" s="23" t="s">
        <v>691</v>
      </c>
      <c r="D47" s="23" t="s">
        <v>2722</v>
      </c>
      <c r="E47" s="23" t="s">
        <v>694</v>
      </c>
      <c r="F47" s="23" t="s">
        <v>328</v>
      </c>
      <c r="G47" s="23" t="s">
        <v>87</v>
      </c>
      <c r="H47" s="23" t="s">
        <v>88</v>
      </c>
      <c r="I47" s="23" t="s">
        <v>283</v>
      </c>
      <c r="J47" s="23" t="s">
        <v>842</v>
      </c>
      <c r="K47" s="23"/>
      <c r="L47" s="23" t="s">
        <v>842</v>
      </c>
      <c r="M47" s="24" t="s">
        <v>229</v>
      </c>
      <c r="N47" s="23" t="s">
        <v>111</v>
      </c>
      <c r="O47" s="23" t="s">
        <v>3023</v>
      </c>
      <c r="P47" s="24"/>
      <c r="Q47" s="23" t="s">
        <v>3023</v>
      </c>
    </row>
    <row r="48" spans="1:17" x14ac:dyDescent="0.3">
      <c r="A48" s="23" t="s">
        <v>3041</v>
      </c>
      <c r="B48" s="23" t="s">
        <v>701</v>
      </c>
      <c r="C48" s="23" t="s">
        <v>702</v>
      </c>
      <c r="D48" s="23" t="s">
        <v>2732</v>
      </c>
      <c r="E48" s="23" t="s">
        <v>706</v>
      </c>
      <c r="F48" s="23" t="s">
        <v>475</v>
      </c>
      <c r="G48" s="23" t="s">
        <v>476</v>
      </c>
      <c r="H48" s="23" t="s">
        <v>477</v>
      </c>
      <c r="I48" s="23" t="s">
        <v>136</v>
      </c>
      <c r="J48" s="23" t="s">
        <v>842</v>
      </c>
      <c r="K48" s="23" t="s">
        <v>840</v>
      </c>
      <c r="L48" s="23" t="s">
        <v>842</v>
      </c>
      <c r="M48" s="24" t="s">
        <v>534</v>
      </c>
      <c r="N48" s="23" t="s">
        <v>131</v>
      </c>
      <c r="O48" s="23" t="s">
        <v>3023</v>
      </c>
      <c r="P48" s="24"/>
      <c r="Q48" s="23" t="s">
        <v>3023</v>
      </c>
    </row>
    <row r="49" spans="1:17" x14ac:dyDescent="0.3">
      <c r="A49" s="23" t="s">
        <v>3042</v>
      </c>
      <c r="B49" s="23" t="s">
        <v>713</v>
      </c>
      <c r="C49" s="23" t="s">
        <v>568</v>
      </c>
      <c r="D49" s="23" t="s">
        <v>2804</v>
      </c>
      <c r="E49" s="23" t="s">
        <v>715</v>
      </c>
      <c r="F49" s="23" t="s">
        <v>475</v>
      </c>
      <c r="G49" s="23" t="s">
        <v>476</v>
      </c>
      <c r="H49" s="23" t="s">
        <v>88</v>
      </c>
      <c r="I49" s="23" t="s">
        <v>136</v>
      </c>
      <c r="J49" s="23" t="s">
        <v>840</v>
      </c>
      <c r="K49" s="23" t="s">
        <v>840</v>
      </c>
      <c r="L49" s="23" t="s">
        <v>840</v>
      </c>
      <c r="M49" s="24" t="s">
        <v>212</v>
      </c>
      <c r="N49" s="23" t="s">
        <v>147</v>
      </c>
      <c r="O49" s="23"/>
      <c r="P49" s="24"/>
      <c r="Q49" s="23" t="s">
        <v>2989</v>
      </c>
    </row>
    <row r="50" spans="1:17" x14ac:dyDescent="0.3">
      <c r="A50" s="23" t="s">
        <v>3043</v>
      </c>
      <c r="B50" s="23" t="s">
        <v>721</v>
      </c>
      <c r="C50" s="23" t="s">
        <v>591</v>
      </c>
      <c r="D50" s="23" t="s">
        <v>2823</v>
      </c>
      <c r="E50" s="23" t="s">
        <v>724</v>
      </c>
      <c r="F50" s="23" t="s">
        <v>503</v>
      </c>
      <c r="G50" s="23" t="s">
        <v>476</v>
      </c>
      <c r="H50" s="23" t="s">
        <v>88</v>
      </c>
      <c r="I50" s="23" t="s">
        <v>136</v>
      </c>
      <c r="J50" s="23" t="s">
        <v>840</v>
      </c>
      <c r="K50" s="23" t="s">
        <v>840</v>
      </c>
      <c r="L50" s="23" t="s">
        <v>840</v>
      </c>
      <c r="M50" s="24" t="s">
        <v>518</v>
      </c>
      <c r="N50" s="23" t="s">
        <v>219</v>
      </c>
      <c r="O50" s="23"/>
      <c r="P50" s="24"/>
      <c r="Q50" s="23" t="s">
        <v>2989</v>
      </c>
    </row>
    <row r="51" spans="1:17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7"/>
      <c r="N51" s="26"/>
      <c r="O51" s="26"/>
      <c r="P51" s="27"/>
      <c r="Q51" s="26"/>
    </row>
    <row r="52" spans="1:17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7"/>
      <c r="N52" s="26"/>
      <c r="O52" s="26"/>
      <c r="P52" s="27"/>
      <c r="Q52" s="26"/>
    </row>
    <row r="53" spans="1:17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7"/>
      <c r="N53" s="26"/>
      <c r="O53" s="26"/>
      <c r="P53" s="27"/>
      <c r="Q53" s="26"/>
    </row>
    <row r="54" spans="1:17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7"/>
      <c r="N54" s="26"/>
      <c r="O54" s="26"/>
      <c r="P54" s="27"/>
      <c r="Q54" s="26"/>
    </row>
    <row r="55" spans="1:17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7"/>
      <c r="N55" s="26"/>
      <c r="O55" s="26"/>
      <c r="P55" s="27"/>
      <c r="Q55" s="26"/>
    </row>
    <row r="56" spans="1:17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/>
      <c r="N56" s="26"/>
      <c r="O56" s="26"/>
      <c r="P56" s="27"/>
      <c r="Q56" s="26"/>
    </row>
    <row r="57" spans="1:17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7"/>
      <c r="N57" s="26"/>
      <c r="O57" s="26"/>
      <c r="P57" s="27"/>
      <c r="Q57" s="26"/>
    </row>
    <row r="58" spans="1:17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7"/>
      <c r="N58" s="26"/>
      <c r="O58" s="26"/>
      <c r="P58" s="27"/>
      <c r="Q58" s="26"/>
    </row>
    <row r="59" spans="1:17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7"/>
      <c r="N59" s="26"/>
      <c r="O59" s="26"/>
      <c r="P59" s="27"/>
      <c r="Q59" s="26"/>
    </row>
    <row r="60" spans="1:17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/>
      <c r="N60" s="26"/>
      <c r="O60" s="26"/>
      <c r="P60" s="27"/>
      <c r="Q60" s="26"/>
    </row>
    <row r="61" spans="1:17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7"/>
      <c r="N61" s="26"/>
      <c r="O61" s="26"/>
      <c r="P61" s="27"/>
      <c r="Q61" s="26"/>
    </row>
    <row r="62" spans="1:17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7"/>
      <c r="N62" s="26"/>
      <c r="O62" s="26"/>
      <c r="P62" s="27"/>
      <c r="Q62" s="26"/>
    </row>
    <row r="63" spans="1:17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7"/>
      <c r="N63" s="26"/>
      <c r="O63" s="26"/>
      <c r="P63" s="27"/>
      <c r="Q63" s="26"/>
    </row>
    <row r="64" spans="1:17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7"/>
      <c r="N64" s="26"/>
      <c r="O64" s="26"/>
      <c r="P64" s="27"/>
      <c r="Q64" s="26"/>
    </row>
    <row r="65" spans="1:17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7"/>
      <c r="N65" s="26"/>
      <c r="O65" s="26"/>
      <c r="P65" s="27"/>
      <c r="Q65" s="26"/>
    </row>
    <row r="66" spans="1:17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7"/>
      <c r="N66" s="26"/>
      <c r="O66" s="26"/>
      <c r="P66" s="27"/>
      <c r="Q66" s="26"/>
    </row>
    <row r="67" spans="1:17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7"/>
      <c r="N67" s="26"/>
      <c r="O67" s="26"/>
      <c r="P67" s="27"/>
      <c r="Q67" s="26"/>
    </row>
    <row r="68" spans="1:17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7"/>
      <c r="N68" s="26"/>
      <c r="O68" s="26"/>
      <c r="P68" s="27"/>
      <c r="Q68" s="26"/>
    </row>
    <row r="69" spans="1:17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7"/>
      <c r="N69" s="26"/>
      <c r="O69" s="26"/>
      <c r="P69" s="27"/>
      <c r="Q69" s="26"/>
    </row>
    <row r="70" spans="1:17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  <c r="N70" s="26"/>
      <c r="O70" s="26"/>
      <c r="P70" s="27"/>
      <c r="Q70" s="26"/>
    </row>
    <row r="71" spans="1:17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/>
      <c r="N71" s="26"/>
      <c r="O71" s="26"/>
      <c r="P71" s="27"/>
      <c r="Q71" s="26"/>
    </row>
    <row r="72" spans="1:17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/>
      <c r="N72" s="26"/>
      <c r="O72" s="26"/>
      <c r="P72" s="27"/>
      <c r="Q72" s="26"/>
    </row>
    <row r="73" spans="1:17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  <c r="N73" s="26"/>
      <c r="O73" s="26"/>
      <c r="P73" s="27"/>
      <c r="Q73" s="26"/>
    </row>
    <row r="74" spans="1:17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/>
      <c r="N74" s="26"/>
      <c r="O74" s="26"/>
      <c r="P74" s="27"/>
      <c r="Q74" s="26"/>
    </row>
    <row r="75" spans="1:17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7"/>
      <c r="N75" s="26"/>
      <c r="O75" s="26"/>
      <c r="P75" s="27"/>
      <c r="Q75" s="26"/>
    </row>
    <row r="76" spans="1:17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7"/>
      <c r="N76" s="26"/>
      <c r="O76" s="26"/>
      <c r="P76" s="27"/>
      <c r="Q76" s="26"/>
    </row>
    <row r="77" spans="1:17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/>
      <c r="N77" s="26"/>
      <c r="O77" s="26"/>
      <c r="P77" s="27"/>
      <c r="Q77" s="26"/>
    </row>
    <row r="78" spans="1:17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  <c r="N78" s="26"/>
      <c r="O78" s="26"/>
      <c r="P78" s="27"/>
      <c r="Q78" s="26"/>
    </row>
    <row r="79" spans="1:17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/>
      <c r="N79" s="26"/>
      <c r="O79" s="26"/>
      <c r="P79" s="27"/>
      <c r="Q79" s="26"/>
    </row>
    <row r="80" spans="1:17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/>
      <c r="N80" s="26"/>
      <c r="O80" s="26"/>
      <c r="P80" s="27"/>
      <c r="Q80" s="26"/>
    </row>
    <row r="81" spans="1:17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  <c r="N81" s="26"/>
      <c r="O81" s="26"/>
      <c r="P81" s="27"/>
      <c r="Q81" s="26"/>
    </row>
    <row r="82" spans="1:17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7"/>
      <c r="N82" s="26"/>
      <c r="O82" s="26"/>
      <c r="P82" s="27"/>
      <c r="Q82" s="26"/>
    </row>
    <row r="83" spans="1:17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7"/>
      <c r="N83" s="26"/>
      <c r="O83" s="26"/>
      <c r="P83" s="27"/>
      <c r="Q83" s="26"/>
    </row>
    <row r="84" spans="1:17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/>
      <c r="N84" s="26"/>
      <c r="O84" s="26"/>
      <c r="P84" s="27"/>
      <c r="Q84" s="26"/>
    </row>
    <row r="85" spans="1:17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7"/>
      <c r="Q85" s="26"/>
    </row>
    <row r="86" spans="1:17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/>
      <c r="N86" s="26"/>
      <c r="O86" s="26"/>
      <c r="P86" s="27"/>
      <c r="Q86" s="26"/>
    </row>
    <row r="87" spans="1:17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/>
      <c r="N87" s="26"/>
      <c r="O87" s="26"/>
      <c r="P87" s="27"/>
      <c r="Q87" s="26"/>
    </row>
    <row r="88" spans="1:17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/>
      <c r="N88" s="26"/>
      <c r="O88" s="26"/>
      <c r="P88" s="27"/>
      <c r="Q88" s="26"/>
    </row>
    <row r="89" spans="1:17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7"/>
      <c r="N89" s="26"/>
      <c r="O89" s="26"/>
      <c r="P89" s="27"/>
      <c r="Q89" s="26"/>
    </row>
    <row r="90" spans="1:17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7"/>
      <c r="N90" s="26"/>
      <c r="O90" s="26"/>
      <c r="P90" s="27"/>
      <c r="Q90" s="26"/>
    </row>
    <row r="91" spans="1:17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7"/>
      <c r="N91" s="26"/>
      <c r="O91" s="26"/>
      <c r="P91" s="27"/>
      <c r="Q91" s="26"/>
    </row>
    <row r="92" spans="1:17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7"/>
      <c r="N92" s="26"/>
      <c r="O92" s="26"/>
      <c r="P92" s="27"/>
      <c r="Q92" s="26"/>
    </row>
    <row r="93" spans="1:17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7"/>
      <c r="N93" s="26"/>
      <c r="O93" s="26"/>
      <c r="P93" s="27"/>
      <c r="Q93" s="26"/>
    </row>
    <row r="94" spans="1:17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7"/>
      <c r="N94" s="26"/>
      <c r="O94" s="26"/>
      <c r="P94" s="27"/>
      <c r="Q94" s="26"/>
    </row>
    <row r="95" spans="1:17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7"/>
      <c r="N95" s="26"/>
      <c r="O95" s="26"/>
      <c r="P95" s="27"/>
      <c r="Q95" s="26"/>
    </row>
    <row r="96" spans="1:17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7"/>
      <c r="N96" s="26"/>
      <c r="O96" s="26"/>
      <c r="P96" s="27"/>
      <c r="Q96" s="26"/>
    </row>
    <row r="97" spans="1:17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7"/>
      <c r="N97" s="26"/>
      <c r="O97" s="26"/>
      <c r="P97" s="27"/>
      <c r="Q97" s="26"/>
    </row>
    <row r="98" spans="1:17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7"/>
      <c r="N98" s="26"/>
      <c r="O98" s="26"/>
      <c r="P98" s="27"/>
      <c r="Q98" s="26"/>
    </row>
    <row r="99" spans="1:17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7"/>
      <c r="N99" s="26"/>
      <c r="O99" s="26"/>
      <c r="P99" s="27"/>
      <c r="Q99" s="26"/>
    </row>
    <row r="100" spans="1:17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7"/>
      <c r="N100" s="26"/>
      <c r="O100" s="26"/>
      <c r="P100" s="27"/>
      <c r="Q100" s="26"/>
    </row>
    <row r="101" spans="1:17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7"/>
      <c r="N101" s="26"/>
      <c r="O101" s="26"/>
      <c r="P101" s="27"/>
      <c r="Q101" s="26"/>
    </row>
    <row r="102" spans="1:17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7"/>
      <c r="N102" s="26"/>
      <c r="O102" s="26"/>
      <c r="P102" s="27"/>
      <c r="Q102" s="26"/>
    </row>
    <row r="103" spans="1:17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7"/>
      <c r="N103" s="26"/>
      <c r="O103" s="26"/>
      <c r="P103" s="27"/>
      <c r="Q103" s="26"/>
    </row>
    <row r="104" spans="1:17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7"/>
      <c r="N104" s="26"/>
      <c r="O104" s="26"/>
      <c r="P104" s="27"/>
      <c r="Q104" s="26"/>
    </row>
    <row r="105" spans="1:17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7"/>
      <c r="N105" s="26"/>
      <c r="O105" s="26"/>
      <c r="P105" s="27"/>
      <c r="Q105" s="26"/>
    </row>
    <row r="106" spans="1:17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7"/>
      <c r="N106" s="26"/>
      <c r="O106" s="26"/>
      <c r="P106" s="27"/>
      <c r="Q106" s="26"/>
    </row>
    <row r="107" spans="1:17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7"/>
      <c r="N107" s="26"/>
      <c r="O107" s="26"/>
      <c r="P107" s="27"/>
      <c r="Q107" s="26"/>
    </row>
    <row r="108" spans="1:17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7"/>
      <c r="N108" s="26"/>
      <c r="O108" s="26"/>
      <c r="P108" s="27"/>
      <c r="Q108" s="26"/>
    </row>
    <row r="109" spans="1:17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7"/>
      <c r="N109" s="26"/>
      <c r="O109" s="26"/>
      <c r="P109" s="27"/>
      <c r="Q109" s="26"/>
    </row>
    <row r="110" spans="1:17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7"/>
      <c r="N110" s="26"/>
      <c r="O110" s="26"/>
      <c r="P110" s="27"/>
      <c r="Q110" s="26"/>
    </row>
    <row r="111" spans="1:17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7"/>
      <c r="N111" s="26"/>
      <c r="O111" s="26"/>
      <c r="P111" s="27"/>
      <c r="Q111" s="26"/>
    </row>
    <row r="112" spans="1:17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7"/>
      <c r="N112" s="26"/>
      <c r="O112" s="26"/>
      <c r="P112" s="27"/>
      <c r="Q112" s="26"/>
    </row>
    <row r="113" spans="1:17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7"/>
      <c r="N113" s="26"/>
      <c r="O113" s="26"/>
      <c r="P113" s="27"/>
      <c r="Q113" s="26"/>
    </row>
    <row r="114" spans="1:17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7"/>
      <c r="N114" s="26"/>
      <c r="O114" s="26"/>
      <c r="P114" s="27"/>
      <c r="Q114" s="26"/>
    </row>
    <row r="115" spans="1:17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7"/>
      <c r="N115" s="26"/>
      <c r="O115" s="26"/>
      <c r="P115" s="27"/>
      <c r="Q115" s="26"/>
    </row>
    <row r="116" spans="1:17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7"/>
      <c r="N116" s="26"/>
      <c r="O116" s="26"/>
      <c r="P116" s="27"/>
      <c r="Q116" s="26"/>
    </row>
    <row r="117" spans="1:17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7"/>
      <c r="N117" s="26"/>
      <c r="O117" s="26"/>
      <c r="P117" s="27"/>
      <c r="Q117" s="26"/>
    </row>
    <row r="118" spans="1:17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7"/>
      <c r="N118" s="26"/>
      <c r="O118" s="26"/>
      <c r="P118" s="27"/>
      <c r="Q118" s="26"/>
    </row>
    <row r="119" spans="1:17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7"/>
      <c r="N119" s="26"/>
      <c r="O119" s="26"/>
      <c r="P119" s="27"/>
      <c r="Q119" s="26"/>
    </row>
    <row r="120" spans="1:17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7"/>
      <c r="N120" s="26"/>
      <c r="O120" s="26"/>
      <c r="P120" s="27"/>
      <c r="Q120" s="26"/>
    </row>
    <row r="121" spans="1:17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7"/>
      <c r="N121" s="26"/>
      <c r="O121" s="26"/>
      <c r="P121" s="27"/>
      <c r="Q121" s="26"/>
    </row>
    <row r="122" spans="1:17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7"/>
      <c r="N122" s="26"/>
      <c r="O122" s="26"/>
      <c r="P122" s="27"/>
      <c r="Q122" s="26"/>
    </row>
    <row r="123" spans="1:17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7"/>
      <c r="N123" s="26"/>
      <c r="O123" s="26"/>
      <c r="P123" s="27"/>
      <c r="Q123" s="26"/>
    </row>
    <row r="124" spans="1:17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7"/>
      <c r="N124" s="26"/>
      <c r="O124" s="26"/>
      <c r="P124" s="27"/>
      <c r="Q124" s="26"/>
    </row>
    <row r="125" spans="1:17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7"/>
      <c r="N125" s="26"/>
      <c r="O125" s="26"/>
      <c r="P125" s="27"/>
      <c r="Q125" s="26"/>
    </row>
    <row r="126" spans="1:17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7"/>
      <c r="N126" s="26"/>
      <c r="O126" s="26"/>
      <c r="P126" s="27"/>
      <c r="Q126" s="26"/>
    </row>
    <row r="127" spans="1:17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7"/>
      <c r="N127" s="26"/>
      <c r="O127" s="26"/>
      <c r="P127" s="27"/>
      <c r="Q127" s="26"/>
    </row>
    <row r="128" spans="1:17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7"/>
      <c r="N128" s="26"/>
      <c r="O128" s="26"/>
      <c r="P128" s="27"/>
      <c r="Q128" s="26"/>
    </row>
    <row r="129" spans="1:17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7"/>
      <c r="N129" s="26"/>
      <c r="O129" s="26"/>
      <c r="P129" s="27"/>
      <c r="Q129" s="26"/>
    </row>
    <row r="130" spans="1:17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7"/>
      <c r="N130" s="26"/>
      <c r="O130" s="26"/>
      <c r="P130" s="27"/>
      <c r="Q130" s="26"/>
    </row>
    <row r="131" spans="1:17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7"/>
      <c r="N131" s="26"/>
      <c r="O131" s="26"/>
      <c r="P131" s="27"/>
      <c r="Q131" s="26"/>
    </row>
    <row r="132" spans="1:17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7"/>
      <c r="N132" s="26"/>
      <c r="O132" s="26"/>
      <c r="P132" s="27"/>
      <c r="Q132" s="26"/>
    </row>
    <row r="133" spans="1:17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7"/>
      <c r="N133" s="26"/>
      <c r="O133" s="26"/>
      <c r="P133" s="27"/>
      <c r="Q133" s="26"/>
    </row>
    <row r="134" spans="1:17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7"/>
      <c r="N134" s="26"/>
      <c r="O134" s="26"/>
      <c r="P134" s="27"/>
      <c r="Q134" s="26"/>
    </row>
    <row r="135" spans="1:17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7"/>
      <c r="N135" s="26"/>
      <c r="O135" s="26"/>
      <c r="P135" s="27"/>
      <c r="Q135" s="26"/>
    </row>
    <row r="136" spans="1:17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7"/>
      <c r="N136" s="26"/>
      <c r="O136" s="26"/>
      <c r="P136" s="27"/>
      <c r="Q136" s="26"/>
    </row>
    <row r="137" spans="1:17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7"/>
      <c r="N137" s="26"/>
      <c r="O137" s="26"/>
      <c r="P137" s="27"/>
      <c r="Q137" s="26"/>
    </row>
    <row r="138" spans="1:17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7"/>
      <c r="N138" s="26"/>
      <c r="O138" s="26"/>
      <c r="P138" s="27"/>
      <c r="Q138" s="26"/>
    </row>
    <row r="139" spans="1:17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7"/>
      <c r="N139" s="26"/>
      <c r="O139" s="26"/>
      <c r="P139" s="27"/>
      <c r="Q139" s="26"/>
    </row>
    <row r="140" spans="1:17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7"/>
      <c r="N140" s="26"/>
      <c r="O140" s="26"/>
      <c r="P140" s="27"/>
      <c r="Q140" s="26"/>
    </row>
    <row r="141" spans="1:17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7"/>
      <c r="N141" s="26"/>
      <c r="O141" s="26"/>
      <c r="P141" s="27"/>
      <c r="Q141" s="26"/>
    </row>
    <row r="142" spans="1:17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7"/>
      <c r="N142" s="26"/>
      <c r="O142" s="26"/>
      <c r="P142" s="27"/>
      <c r="Q142" s="26"/>
    </row>
    <row r="143" spans="1:17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7"/>
      <c r="N143" s="26"/>
      <c r="O143" s="26"/>
      <c r="P143" s="27"/>
      <c r="Q143" s="26"/>
    </row>
    <row r="144" spans="1:17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7"/>
      <c r="N144" s="26"/>
      <c r="O144" s="26"/>
      <c r="P144" s="27"/>
      <c r="Q144" s="26"/>
    </row>
    <row r="145" spans="1:17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7"/>
      <c r="N145" s="26"/>
      <c r="O145" s="26"/>
      <c r="P145" s="27"/>
      <c r="Q145" s="26"/>
    </row>
    <row r="146" spans="1:17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7"/>
      <c r="N146" s="26"/>
      <c r="O146" s="26"/>
      <c r="P146" s="27"/>
      <c r="Q146" s="26"/>
    </row>
    <row r="147" spans="1:17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7"/>
      <c r="N147" s="26"/>
      <c r="O147" s="26"/>
      <c r="P147" s="27"/>
      <c r="Q147" s="26"/>
    </row>
    <row r="148" spans="1:17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7"/>
      <c r="N148" s="26"/>
      <c r="O148" s="26"/>
      <c r="P148" s="27"/>
      <c r="Q148" s="26"/>
    </row>
    <row r="149" spans="1:17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7"/>
      <c r="N149" s="26"/>
      <c r="O149" s="26"/>
      <c r="P149" s="27"/>
      <c r="Q149" s="26"/>
    </row>
    <row r="150" spans="1:17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7"/>
      <c r="N150" s="26"/>
      <c r="O150" s="26"/>
      <c r="P150" s="27"/>
      <c r="Q150" s="26"/>
    </row>
    <row r="151" spans="1:17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7"/>
      <c r="N151" s="26"/>
      <c r="O151" s="26"/>
      <c r="P151" s="27"/>
      <c r="Q151" s="26"/>
    </row>
    <row r="152" spans="1:17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7"/>
      <c r="N152" s="26"/>
      <c r="O152" s="26"/>
      <c r="P152" s="27"/>
      <c r="Q152" s="26"/>
    </row>
    <row r="153" spans="1:17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7"/>
      <c r="N153" s="26"/>
      <c r="O153" s="26"/>
      <c r="P153" s="27"/>
      <c r="Q153" s="26"/>
    </row>
    <row r="154" spans="1:17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7"/>
      <c r="N154" s="26"/>
      <c r="O154" s="26"/>
      <c r="P154" s="27"/>
      <c r="Q154" s="26"/>
    </row>
    <row r="155" spans="1:17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7"/>
      <c r="N155" s="26"/>
      <c r="O155" s="26"/>
      <c r="P155" s="27"/>
      <c r="Q155" s="26"/>
    </row>
    <row r="156" spans="1:17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7"/>
      <c r="N156" s="26"/>
      <c r="O156" s="26"/>
      <c r="P156" s="27"/>
      <c r="Q156" s="26"/>
    </row>
    <row r="157" spans="1:17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7"/>
      <c r="N157" s="26"/>
      <c r="O157" s="26"/>
      <c r="P157" s="27"/>
      <c r="Q157" s="26"/>
    </row>
    <row r="158" spans="1:17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7"/>
      <c r="N158" s="26"/>
      <c r="O158" s="26"/>
      <c r="P158" s="27"/>
      <c r="Q158" s="26"/>
    </row>
    <row r="159" spans="1:17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7"/>
      <c r="N159" s="26"/>
      <c r="O159" s="26"/>
      <c r="P159" s="27"/>
      <c r="Q159" s="26"/>
    </row>
    <row r="160" spans="1:17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7"/>
      <c r="N160" s="26"/>
      <c r="O160" s="26"/>
      <c r="P160" s="27"/>
      <c r="Q160" s="26"/>
    </row>
    <row r="161" spans="1:17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7"/>
      <c r="N161" s="26"/>
      <c r="O161" s="26"/>
      <c r="P161" s="27"/>
      <c r="Q161" s="26"/>
    </row>
    <row r="162" spans="1:17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7"/>
      <c r="N162" s="26"/>
      <c r="O162" s="26"/>
      <c r="P162" s="27"/>
      <c r="Q162" s="26"/>
    </row>
    <row r="163" spans="1:17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7"/>
      <c r="N163" s="26"/>
      <c r="O163" s="26"/>
      <c r="P163" s="27"/>
      <c r="Q163" s="26"/>
    </row>
    <row r="164" spans="1:17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7"/>
      <c r="N164" s="26"/>
      <c r="O164" s="26"/>
      <c r="P164" s="27"/>
      <c r="Q164" s="26"/>
    </row>
    <row r="165" spans="1:17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7"/>
      <c r="N165" s="26"/>
      <c r="O165" s="26"/>
      <c r="P165" s="27"/>
      <c r="Q165" s="26"/>
    </row>
    <row r="166" spans="1:17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7"/>
      <c r="N166" s="26"/>
      <c r="O166" s="26"/>
      <c r="P166" s="27"/>
      <c r="Q166" s="26"/>
    </row>
    <row r="167" spans="1:17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7"/>
      <c r="N167" s="26"/>
      <c r="O167" s="26"/>
      <c r="P167" s="27"/>
      <c r="Q167" s="26"/>
    </row>
    <row r="168" spans="1:17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7"/>
      <c r="N168" s="26"/>
      <c r="O168" s="26"/>
      <c r="P168" s="27"/>
      <c r="Q168" s="26"/>
    </row>
    <row r="169" spans="1:17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7"/>
      <c r="N169" s="26"/>
      <c r="O169" s="26"/>
      <c r="P169" s="27"/>
      <c r="Q169" s="26"/>
    </row>
    <row r="170" spans="1:17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7"/>
      <c r="N170" s="26"/>
      <c r="O170" s="26"/>
      <c r="P170" s="27"/>
      <c r="Q170" s="26"/>
    </row>
    <row r="171" spans="1:17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7"/>
      <c r="N171" s="26"/>
      <c r="O171" s="26"/>
      <c r="P171" s="27"/>
      <c r="Q171" s="26"/>
    </row>
    <row r="172" spans="1:17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7"/>
      <c r="N172" s="26"/>
      <c r="O172" s="26"/>
      <c r="P172" s="27"/>
      <c r="Q172" s="26"/>
    </row>
    <row r="173" spans="1:17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7"/>
      <c r="N173" s="26"/>
      <c r="O173" s="26"/>
      <c r="P173" s="27"/>
      <c r="Q173" s="26"/>
    </row>
    <row r="174" spans="1:17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7"/>
      <c r="N174" s="26"/>
      <c r="O174" s="26"/>
      <c r="P174" s="27"/>
      <c r="Q174" s="26"/>
    </row>
    <row r="175" spans="1:17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7"/>
      <c r="N175" s="26"/>
      <c r="O175" s="26"/>
      <c r="P175" s="27"/>
      <c r="Q175" s="26"/>
    </row>
    <row r="176" spans="1:17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7"/>
      <c r="N176" s="26"/>
      <c r="O176" s="26"/>
      <c r="P176" s="27"/>
      <c r="Q176" s="26"/>
    </row>
    <row r="177" spans="1:17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7"/>
      <c r="N177" s="26"/>
      <c r="O177" s="26"/>
      <c r="P177" s="27"/>
      <c r="Q177" s="26"/>
    </row>
    <row r="178" spans="1:17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7"/>
      <c r="N178" s="26"/>
      <c r="O178" s="26"/>
      <c r="P178" s="27"/>
      <c r="Q178" s="26"/>
    </row>
    <row r="179" spans="1:17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7"/>
      <c r="N179" s="26"/>
      <c r="O179" s="26"/>
      <c r="P179" s="27"/>
      <c r="Q179" s="26"/>
    </row>
    <row r="180" spans="1:17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7"/>
      <c r="N180" s="26"/>
      <c r="O180" s="26"/>
      <c r="P180" s="27"/>
      <c r="Q180" s="26"/>
    </row>
    <row r="181" spans="1:17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7"/>
      <c r="N181" s="26"/>
      <c r="O181" s="26"/>
      <c r="P181" s="27"/>
      <c r="Q181" s="26"/>
    </row>
    <row r="182" spans="1:17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7"/>
      <c r="N182" s="26"/>
      <c r="O182" s="26"/>
      <c r="P182" s="27"/>
      <c r="Q182" s="26"/>
    </row>
    <row r="183" spans="1:17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7"/>
      <c r="N183" s="26"/>
      <c r="O183" s="26"/>
      <c r="P183" s="27"/>
      <c r="Q183" s="26"/>
    </row>
    <row r="184" spans="1:17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7"/>
      <c r="N184" s="26"/>
      <c r="O184" s="26"/>
      <c r="P184" s="27"/>
      <c r="Q184" s="26"/>
    </row>
    <row r="185" spans="1:17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7"/>
      <c r="N185" s="26"/>
      <c r="O185" s="26"/>
      <c r="P185" s="27"/>
      <c r="Q185" s="26"/>
    </row>
    <row r="186" spans="1:17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7"/>
      <c r="N186" s="26"/>
      <c r="O186" s="26"/>
      <c r="P186" s="27"/>
      <c r="Q186" s="26"/>
    </row>
    <row r="187" spans="1:17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7"/>
      <c r="N187" s="26"/>
      <c r="O187" s="26"/>
      <c r="P187" s="27"/>
      <c r="Q187" s="26"/>
    </row>
    <row r="188" spans="1:17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7"/>
      <c r="N188" s="26"/>
      <c r="O188" s="26"/>
      <c r="P188" s="27"/>
      <c r="Q188" s="26"/>
    </row>
    <row r="189" spans="1:17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7"/>
      <c r="N189" s="26"/>
      <c r="O189" s="26"/>
      <c r="P189" s="27"/>
      <c r="Q189" s="26"/>
    </row>
    <row r="190" spans="1:17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7"/>
      <c r="N190" s="26"/>
      <c r="O190" s="26"/>
      <c r="P190" s="27"/>
      <c r="Q190" s="26"/>
    </row>
    <row r="191" spans="1:17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7"/>
      <c r="N191" s="26"/>
      <c r="O191" s="26"/>
      <c r="P191" s="27"/>
      <c r="Q191" s="26"/>
    </row>
    <row r="192" spans="1:17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7"/>
      <c r="N192" s="26"/>
      <c r="O192" s="26"/>
      <c r="P192" s="27"/>
      <c r="Q192" s="26"/>
    </row>
    <row r="193" spans="1:17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7"/>
      <c r="N193" s="26"/>
      <c r="O193" s="26"/>
      <c r="P193" s="27"/>
      <c r="Q193" s="26"/>
    </row>
    <row r="194" spans="1:17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7"/>
      <c r="N194" s="26"/>
      <c r="O194" s="26"/>
      <c r="P194" s="27"/>
      <c r="Q194" s="26"/>
    </row>
    <row r="195" spans="1:17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7"/>
      <c r="N195" s="26"/>
      <c r="O195" s="26"/>
      <c r="P195" s="27"/>
      <c r="Q195" s="26"/>
    </row>
    <row r="196" spans="1:17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7"/>
      <c r="N196" s="26"/>
      <c r="O196" s="26"/>
      <c r="P196" s="27"/>
      <c r="Q196" s="26"/>
    </row>
    <row r="197" spans="1:17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7"/>
      <c r="N197" s="26"/>
      <c r="O197" s="26"/>
      <c r="P197" s="27"/>
      <c r="Q197" s="26"/>
    </row>
    <row r="198" spans="1:17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7"/>
      <c r="N198" s="26"/>
      <c r="O198" s="26"/>
      <c r="P198" s="27"/>
      <c r="Q198" s="26"/>
    </row>
    <row r="199" spans="1:17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7"/>
      <c r="N199" s="26"/>
      <c r="O199" s="26"/>
      <c r="P199" s="27"/>
      <c r="Q199" s="26"/>
    </row>
    <row r="200" spans="1:17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7"/>
      <c r="N200" s="26"/>
      <c r="O200" s="26"/>
      <c r="P200" s="27"/>
      <c r="Q200" s="26"/>
    </row>
    <row r="201" spans="1:17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7"/>
      <c r="N201" s="26"/>
      <c r="O201" s="26"/>
      <c r="P201" s="27"/>
      <c r="Q201" s="26"/>
    </row>
    <row r="202" spans="1:17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7"/>
      <c r="N202" s="26"/>
      <c r="O202" s="26"/>
      <c r="P202" s="27"/>
      <c r="Q202" s="26"/>
    </row>
    <row r="203" spans="1:17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7"/>
      <c r="N203" s="26"/>
      <c r="O203" s="26"/>
      <c r="P203" s="27"/>
      <c r="Q203" s="26"/>
    </row>
    <row r="204" spans="1:17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7"/>
      <c r="N204" s="26"/>
      <c r="O204" s="26"/>
      <c r="P204" s="27"/>
      <c r="Q204" s="26"/>
    </row>
    <row r="205" spans="1:17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7"/>
      <c r="N205" s="26"/>
      <c r="O205" s="26"/>
      <c r="P205" s="27"/>
      <c r="Q205" s="26"/>
    </row>
    <row r="206" spans="1:17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7"/>
      <c r="N206" s="26"/>
      <c r="O206" s="26"/>
      <c r="P206" s="27"/>
      <c r="Q206" s="26"/>
    </row>
    <row r="207" spans="1:17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7"/>
      <c r="N207" s="26"/>
      <c r="O207" s="26"/>
      <c r="P207" s="27"/>
      <c r="Q207" s="26"/>
    </row>
    <row r="208" spans="1:17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7"/>
      <c r="N208" s="26"/>
      <c r="O208" s="26"/>
      <c r="P208" s="27"/>
      <c r="Q208" s="26"/>
    </row>
    <row r="209" spans="1:17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7"/>
      <c r="N209" s="26"/>
      <c r="O209" s="26"/>
      <c r="P209" s="27"/>
      <c r="Q209" s="26"/>
    </row>
    <row r="210" spans="1:17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7"/>
      <c r="N210" s="26"/>
      <c r="O210" s="26"/>
      <c r="P210" s="27"/>
      <c r="Q210" s="26"/>
    </row>
    <row r="211" spans="1:17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7"/>
      <c r="N211" s="26"/>
      <c r="O211" s="26"/>
      <c r="P211" s="27"/>
      <c r="Q211" s="26"/>
    </row>
    <row r="212" spans="1:17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7"/>
      <c r="N212" s="26"/>
      <c r="O212" s="26"/>
      <c r="P212" s="27"/>
      <c r="Q212" s="26"/>
    </row>
    <row r="213" spans="1:17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7"/>
      <c r="N213" s="26"/>
      <c r="O213" s="26"/>
      <c r="P213" s="27"/>
      <c r="Q213" s="26"/>
    </row>
    <row r="214" spans="1:17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7"/>
      <c r="N214" s="26"/>
      <c r="O214" s="26"/>
      <c r="P214" s="27"/>
      <c r="Q214" s="26"/>
    </row>
    <row r="215" spans="1:17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7"/>
      <c r="N215" s="26"/>
      <c r="O215" s="26"/>
      <c r="P215" s="27"/>
      <c r="Q215" s="26"/>
    </row>
    <row r="216" spans="1:17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7"/>
      <c r="N216" s="26"/>
      <c r="O216" s="26"/>
      <c r="P216" s="27"/>
      <c r="Q216" s="26"/>
    </row>
    <row r="217" spans="1:17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7"/>
      <c r="N217" s="26"/>
      <c r="O217" s="26"/>
      <c r="P217" s="27"/>
      <c r="Q217" s="26"/>
    </row>
    <row r="218" spans="1:17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7"/>
      <c r="N218" s="26"/>
      <c r="O218" s="26"/>
      <c r="P218" s="27"/>
      <c r="Q218" s="26"/>
    </row>
    <row r="219" spans="1:17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7"/>
      <c r="N219" s="26"/>
      <c r="O219" s="26"/>
      <c r="P219" s="27"/>
      <c r="Q219" s="26"/>
    </row>
    <row r="220" spans="1:17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7"/>
      <c r="N220" s="26"/>
      <c r="O220" s="26"/>
      <c r="P220" s="27"/>
      <c r="Q220" s="26"/>
    </row>
    <row r="221" spans="1:17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7"/>
      <c r="N221" s="26"/>
      <c r="O221" s="26"/>
      <c r="P221" s="27"/>
      <c r="Q221" s="26"/>
    </row>
    <row r="222" spans="1:17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7"/>
      <c r="N222" s="26"/>
      <c r="O222" s="26"/>
      <c r="P222" s="27"/>
      <c r="Q222" s="26"/>
    </row>
    <row r="223" spans="1:17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7"/>
      <c r="N223" s="26"/>
      <c r="O223" s="26"/>
      <c r="P223" s="27"/>
      <c r="Q223" s="26"/>
    </row>
    <row r="224" spans="1:17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7"/>
      <c r="N224" s="26"/>
      <c r="O224" s="26"/>
      <c r="P224" s="27"/>
      <c r="Q224" s="26"/>
    </row>
    <row r="225" spans="1:17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7"/>
      <c r="N225" s="26"/>
      <c r="O225" s="26"/>
      <c r="P225" s="27"/>
      <c r="Q225" s="26"/>
    </row>
    <row r="226" spans="1:17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7"/>
      <c r="N226" s="26"/>
      <c r="O226" s="26"/>
      <c r="P226" s="27"/>
      <c r="Q226" s="26"/>
    </row>
    <row r="227" spans="1:17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7"/>
      <c r="N227" s="26"/>
      <c r="O227" s="26"/>
      <c r="P227" s="27"/>
      <c r="Q227" s="26"/>
    </row>
    <row r="228" spans="1:17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7"/>
      <c r="N228" s="26"/>
      <c r="O228" s="26"/>
      <c r="P228" s="27"/>
      <c r="Q228" s="26"/>
    </row>
    <row r="229" spans="1:17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7"/>
      <c r="N229" s="26"/>
      <c r="O229" s="26"/>
      <c r="P229" s="27"/>
      <c r="Q229" s="26"/>
    </row>
    <row r="230" spans="1:17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7"/>
      <c r="N230" s="26"/>
      <c r="O230" s="26"/>
      <c r="P230" s="27"/>
      <c r="Q230" s="26"/>
    </row>
    <row r="231" spans="1:17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7"/>
      <c r="N231" s="26"/>
      <c r="O231" s="26"/>
      <c r="P231" s="27"/>
      <c r="Q231" s="26"/>
    </row>
    <row r="232" spans="1:17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7"/>
      <c r="N232" s="26"/>
      <c r="O232" s="26"/>
      <c r="P232" s="27"/>
      <c r="Q232" s="26"/>
    </row>
    <row r="233" spans="1:17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7"/>
      <c r="N233" s="26"/>
      <c r="O233" s="26"/>
      <c r="P233" s="27"/>
      <c r="Q233" s="26"/>
    </row>
    <row r="234" spans="1:17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7"/>
      <c r="N234" s="26"/>
      <c r="O234" s="26"/>
      <c r="P234" s="27"/>
      <c r="Q234" s="26"/>
    </row>
    <row r="235" spans="1:17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7"/>
      <c r="N235" s="26"/>
      <c r="O235" s="26"/>
      <c r="P235" s="27"/>
      <c r="Q235" s="26"/>
    </row>
    <row r="236" spans="1:17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7"/>
      <c r="N236" s="26"/>
      <c r="O236" s="26"/>
      <c r="P236" s="27"/>
      <c r="Q236" s="26"/>
    </row>
    <row r="237" spans="1:17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7"/>
      <c r="N237" s="26"/>
      <c r="O237" s="26"/>
      <c r="P237" s="27"/>
      <c r="Q237" s="26"/>
    </row>
    <row r="238" spans="1:17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7"/>
      <c r="N238" s="26"/>
      <c r="O238" s="26"/>
      <c r="P238" s="27"/>
      <c r="Q238" s="26"/>
    </row>
    <row r="239" spans="1:17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7"/>
      <c r="N239" s="26"/>
      <c r="O239" s="26"/>
      <c r="P239" s="27"/>
      <c r="Q239" s="26"/>
    </row>
    <row r="240" spans="1:17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7"/>
      <c r="N240" s="26"/>
      <c r="O240" s="26"/>
      <c r="P240" s="27"/>
      <c r="Q240" s="26"/>
    </row>
    <row r="241" spans="1:17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7"/>
      <c r="N241" s="26"/>
      <c r="O241" s="26"/>
      <c r="P241" s="27"/>
      <c r="Q241" s="26"/>
    </row>
    <row r="242" spans="1:17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7"/>
      <c r="N242" s="26"/>
      <c r="O242" s="26"/>
      <c r="P242" s="27"/>
      <c r="Q242" s="26"/>
    </row>
    <row r="243" spans="1:17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7"/>
      <c r="N243" s="26"/>
      <c r="O243" s="26"/>
      <c r="P243" s="27"/>
      <c r="Q243" s="26"/>
    </row>
    <row r="244" spans="1:17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7"/>
      <c r="N244" s="26"/>
      <c r="O244" s="26"/>
      <c r="P244" s="27"/>
      <c r="Q244" s="26"/>
    </row>
    <row r="245" spans="1:17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7"/>
      <c r="N245" s="26"/>
      <c r="O245" s="26"/>
      <c r="P245" s="27"/>
      <c r="Q245" s="26"/>
    </row>
    <row r="246" spans="1:17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7"/>
      <c r="N246" s="26"/>
      <c r="O246" s="26"/>
      <c r="P246" s="27"/>
      <c r="Q246" s="26"/>
    </row>
    <row r="247" spans="1:17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7"/>
      <c r="N247" s="26"/>
      <c r="O247" s="26"/>
      <c r="P247" s="27"/>
      <c r="Q247" s="26"/>
    </row>
    <row r="248" spans="1:17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7"/>
      <c r="N248" s="26"/>
      <c r="O248" s="26"/>
      <c r="P248" s="27"/>
      <c r="Q248" s="26"/>
    </row>
    <row r="249" spans="1:17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7"/>
      <c r="N249" s="26"/>
      <c r="O249" s="26"/>
      <c r="P249" s="27"/>
      <c r="Q249" s="26"/>
    </row>
    <row r="250" spans="1:17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7"/>
      <c r="N250" s="26"/>
      <c r="O250" s="26"/>
      <c r="P250" s="27"/>
      <c r="Q250" s="26"/>
    </row>
    <row r="251" spans="1:17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7"/>
      <c r="N251" s="26"/>
      <c r="O251" s="26"/>
      <c r="P251" s="27"/>
      <c r="Q251" s="26"/>
    </row>
    <row r="252" spans="1:17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7"/>
      <c r="N252" s="26"/>
      <c r="O252" s="26"/>
      <c r="P252" s="27"/>
      <c r="Q252" s="26"/>
    </row>
    <row r="253" spans="1:17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7"/>
      <c r="N253" s="26"/>
      <c r="O253" s="26"/>
      <c r="P253" s="27"/>
      <c r="Q253" s="26"/>
    </row>
    <row r="254" spans="1:17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7"/>
      <c r="N254" s="26"/>
      <c r="O254" s="26"/>
      <c r="P254" s="27"/>
      <c r="Q254" s="26"/>
    </row>
    <row r="255" spans="1:17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7"/>
      <c r="N255" s="26"/>
      <c r="O255" s="26"/>
      <c r="P255" s="27"/>
      <c r="Q255" s="26"/>
    </row>
    <row r="256" spans="1:17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7"/>
      <c r="N256" s="26"/>
      <c r="O256" s="26"/>
      <c r="P256" s="27"/>
      <c r="Q256" s="26"/>
    </row>
    <row r="257" spans="1:17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7"/>
      <c r="N257" s="26"/>
      <c r="O257" s="26"/>
      <c r="P257" s="27"/>
      <c r="Q257" s="26"/>
    </row>
    <row r="258" spans="1:17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7"/>
      <c r="N258" s="26"/>
      <c r="O258" s="26"/>
      <c r="P258" s="27"/>
      <c r="Q258" s="26"/>
    </row>
    <row r="259" spans="1:17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7"/>
      <c r="N259" s="26"/>
      <c r="O259" s="26"/>
      <c r="P259" s="27"/>
      <c r="Q259" s="26"/>
    </row>
    <row r="260" spans="1:17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7"/>
      <c r="N260" s="26"/>
      <c r="O260" s="26"/>
      <c r="P260" s="27"/>
      <c r="Q260" s="26"/>
    </row>
    <row r="261" spans="1:17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7"/>
      <c r="N261" s="26"/>
      <c r="O261" s="26"/>
      <c r="P261" s="27"/>
      <c r="Q261" s="26"/>
    </row>
    <row r="262" spans="1:17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7"/>
      <c r="N262" s="26"/>
      <c r="O262" s="26"/>
      <c r="P262" s="27"/>
      <c r="Q262" s="26"/>
    </row>
    <row r="263" spans="1:17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7"/>
      <c r="N263" s="26"/>
      <c r="O263" s="26"/>
      <c r="P263" s="27"/>
      <c r="Q263" s="26"/>
    </row>
    <row r="264" spans="1:17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7"/>
      <c r="N264" s="26"/>
      <c r="O264" s="26"/>
      <c r="P264" s="27"/>
      <c r="Q264" s="26"/>
    </row>
    <row r="265" spans="1:17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7"/>
      <c r="N265" s="26"/>
      <c r="O265" s="26"/>
      <c r="P265" s="27"/>
      <c r="Q265" s="26"/>
    </row>
    <row r="266" spans="1:17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7"/>
      <c r="N266" s="26"/>
      <c r="O266" s="26"/>
      <c r="P266" s="27"/>
      <c r="Q266" s="26"/>
    </row>
    <row r="267" spans="1:17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7"/>
      <c r="N267" s="26"/>
      <c r="O267" s="26"/>
      <c r="P267" s="27"/>
      <c r="Q267" s="26"/>
    </row>
    <row r="268" spans="1:17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7"/>
      <c r="N268" s="26"/>
      <c r="O268" s="26"/>
      <c r="P268" s="27"/>
      <c r="Q268" s="26"/>
    </row>
    <row r="269" spans="1:17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7"/>
      <c r="N269" s="26"/>
      <c r="O269" s="26"/>
      <c r="P269" s="27"/>
      <c r="Q269" s="26"/>
    </row>
    <row r="270" spans="1:17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7"/>
      <c r="N270" s="26"/>
      <c r="O270" s="26"/>
      <c r="P270" s="27"/>
      <c r="Q270" s="26"/>
    </row>
    <row r="271" spans="1:17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7"/>
      <c r="N271" s="26"/>
      <c r="O271" s="26"/>
      <c r="P271" s="27"/>
      <c r="Q271" s="26"/>
    </row>
    <row r="272" spans="1:17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7"/>
      <c r="N272" s="26"/>
      <c r="O272" s="26"/>
      <c r="P272" s="27"/>
      <c r="Q272" s="26"/>
    </row>
    <row r="273" spans="1:17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7"/>
      <c r="N273" s="26"/>
      <c r="O273" s="26"/>
      <c r="P273" s="27"/>
      <c r="Q273" s="26"/>
    </row>
    <row r="274" spans="1:17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7"/>
      <c r="N274" s="26"/>
      <c r="O274" s="26"/>
      <c r="P274" s="27"/>
      <c r="Q274" s="26"/>
    </row>
    <row r="275" spans="1:17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7"/>
      <c r="N275" s="26"/>
      <c r="O275" s="26"/>
      <c r="P275" s="27"/>
      <c r="Q275" s="26"/>
    </row>
    <row r="276" spans="1:17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7"/>
      <c r="N276" s="26"/>
      <c r="O276" s="26"/>
      <c r="P276" s="27"/>
      <c r="Q276" s="26"/>
    </row>
    <row r="277" spans="1:17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7"/>
      <c r="N277" s="26"/>
      <c r="O277" s="26"/>
      <c r="P277" s="27"/>
      <c r="Q277" s="26"/>
    </row>
    <row r="278" spans="1:17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7"/>
      <c r="N278" s="26"/>
      <c r="O278" s="26"/>
      <c r="P278" s="27"/>
      <c r="Q278" s="26"/>
    </row>
    <row r="279" spans="1:17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7"/>
      <c r="N279" s="26"/>
      <c r="O279" s="26"/>
      <c r="P279" s="27"/>
      <c r="Q279" s="26"/>
    </row>
    <row r="280" spans="1:17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7"/>
      <c r="N280" s="26"/>
      <c r="O280" s="26"/>
      <c r="P280" s="27"/>
      <c r="Q280" s="26"/>
    </row>
    <row r="281" spans="1:17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7"/>
      <c r="N281" s="26"/>
      <c r="O281" s="26"/>
      <c r="P281" s="27"/>
      <c r="Q281" s="26"/>
    </row>
    <row r="282" spans="1:17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7"/>
      <c r="N282" s="26"/>
      <c r="O282" s="26"/>
      <c r="P282" s="27"/>
      <c r="Q282" s="26"/>
    </row>
    <row r="283" spans="1:17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7"/>
      <c r="N283" s="26"/>
      <c r="O283" s="26"/>
      <c r="P283" s="27"/>
      <c r="Q283" s="26"/>
    </row>
    <row r="284" spans="1:17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7"/>
      <c r="N284" s="26"/>
      <c r="O284" s="26"/>
      <c r="P284" s="27"/>
      <c r="Q284" s="26"/>
    </row>
    <row r="285" spans="1:17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7"/>
      <c r="N285" s="26"/>
      <c r="O285" s="26"/>
      <c r="P285" s="27"/>
      <c r="Q285" s="26"/>
    </row>
    <row r="286" spans="1:17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7"/>
      <c r="N286" s="26"/>
      <c r="O286" s="26"/>
      <c r="P286" s="27"/>
      <c r="Q286" s="26"/>
    </row>
    <row r="287" spans="1:17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7"/>
      <c r="N287" s="26"/>
      <c r="O287" s="26"/>
      <c r="P287" s="27"/>
      <c r="Q287" s="26"/>
    </row>
    <row r="288" spans="1:17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7"/>
      <c r="N288" s="26"/>
      <c r="O288" s="26"/>
      <c r="P288" s="27"/>
      <c r="Q288" s="26"/>
    </row>
    <row r="289" spans="1:17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7"/>
      <c r="N289" s="26"/>
      <c r="O289" s="26"/>
      <c r="P289" s="27"/>
      <c r="Q289" s="26"/>
    </row>
    <row r="290" spans="1:17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7"/>
      <c r="N290" s="26"/>
      <c r="O290" s="26"/>
      <c r="P290" s="27"/>
      <c r="Q290" s="26"/>
    </row>
    <row r="291" spans="1:17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7"/>
      <c r="N291" s="26"/>
      <c r="O291" s="26"/>
      <c r="P291" s="27"/>
      <c r="Q291" s="26"/>
    </row>
    <row r="292" spans="1:17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7"/>
      <c r="N292" s="26"/>
      <c r="O292" s="26"/>
      <c r="P292" s="27"/>
      <c r="Q292" s="26"/>
    </row>
    <row r="293" spans="1:17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7"/>
      <c r="N293" s="26"/>
      <c r="O293" s="26"/>
      <c r="P293" s="27"/>
      <c r="Q293" s="26"/>
    </row>
    <row r="294" spans="1:17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7"/>
      <c r="N294" s="26"/>
      <c r="O294" s="26"/>
      <c r="P294" s="27"/>
      <c r="Q294" s="26"/>
    </row>
    <row r="295" spans="1:17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7"/>
      <c r="N295" s="26"/>
      <c r="O295" s="26"/>
      <c r="P295" s="27"/>
      <c r="Q295" s="26"/>
    </row>
    <row r="296" spans="1:17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7"/>
      <c r="N296" s="26"/>
      <c r="O296" s="26"/>
      <c r="P296" s="27"/>
      <c r="Q296" s="26"/>
    </row>
    <row r="297" spans="1:17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7"/>
      <c r="N297" s="26"/>
      <c r="O297" s="26"/>
      <c r="P297" s="27"/>
      <c r="Q297" s="26"/>
    </row>
    <row r="298" spans="1:17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7"/>
      <c r="N298" s="26"/>
      <c r="O298" s="26"/>
      <c r="P298" s="27"/>
      <c r="Q298" s="26"/>
    </row>
    <row r="299" spans="1:17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7"/>
      <c r="N299" s="26"/>
      <c r="O299" s="26"/>
      <c r="P299" s="27"/>
      <c r="Q299" s="26"/>
    </row>
    <row r="300" spans="1:17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7"/>
      <c r="N300" s="26"/>
      <c r="O300" s="26"/>
      <c r="P300" s="27"/>
      <c r="Q300" s="26"/>
    </row>
    <row r="301" spans="1:17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7"/>
      <c r="N301" s="26"/>
      <c r="O301" s="26"/>
      <c r="P301" s="27"/>
      <c r="Q301" s="26"/>
    </row>
  </sheetData>
  <autoFilter ref="A1:Q301" xr:uid="{00000000-0009-0000-0000-000008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Lists!$I$2:$I$4</xm:f>
          </x14:formula1>
          <xm:sqref>J2:L301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Asset Summary</vt:lpstr>
      <vt:lpstr>IT Asset Register</vt:lpstr>
      <vt:lpstr>LP Audit</vt:lpstr>
      <vt:lpstr>LP COST</vt:lpstr>
      <vt:lpstr>Lists</vt:lpstr>
      <vt:lpstr>Maintenance Schedule</vt:lpstr>
      <vt:lpstr>Software &amp; Licences</vt:lpstr>
      <vt:lpstr>Asset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Alabi</dc:creator>
  <cp:lastModifiedBy>ALEE BEE</cp:lastModifiedBy>
  <cp:lastPrinted>2025-01-07T14:23:43Z</cp:lastPrinted>
  <dcterms:created xsi:type="dcterms:W3CDTF">2018-06-07T09:48:45Z</dcterms:created>
  <dcterms:modified xsi:type="dcterms:W3CDTF">2026-08-08T17:15:57Z</dcterms:modified>
</cp:coreProperties>
</file>